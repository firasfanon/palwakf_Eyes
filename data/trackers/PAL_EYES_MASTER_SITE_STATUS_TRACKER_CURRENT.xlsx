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7d1d0752cf49b4" /></Relationships>
</file>

<file path=xl/workbook.xml><?xml version="1.0" encoding="utf-8"?>
<x:workbook xmlns:x="http://schemas.openxmlformats.org/spreadsheetml/2006/main">
  <x:sheets>
    <x:sheet xmlns:r="http://schemas.openxmlformats.org/officeDocument/2006/relationships" name="Dashboard" sheetId="1" r:id="R9e0a4bbacc264efe"/>
    <x:sheet xmlns:r="http://schemas.openxmlformats.org/officeDocument/2006/relationships" name="Sites" sheetId="2" r:id="Rceabf1ae235f4805"/>
    <x:sheet xmlns:r="http://schemas.openxmlformats.org/officeDocument/2006/relationships" name="Sources" sheetId="3" r:id="R94073270c0de48c6"/>
    <x:sheet xmlns:r="http://schemas.openxmlformats.org/officeDocument/2006/relationships" name="Editorial" sheetId="4" r:id="R0a39917000554659"/>
    <x:sheet xmlns:r="http://schemas.openxmlformats.org/officeDocument/2006/relationships" name="Held Claims" sheetId="5" r:id="R7af4d91861df4123"/>
    <x:sheet xmlns:r="http://schemas.openxmlformats.org/officeDocument/2006/relationships" name="Relations" sheetId="6" r:id="R471c010437d94665"/>
    <x:sheet xmlns:r="http://schemas.openxmlformats.org/officeDocument/2006/relationships" name="Coordinates" sheetId="7" r:id="R9a8d022e076844b4"/>
    <x:sheet xmlns:r="http://schemas.openxmlformats.org/officeDocument/2006/relationships" name="Milestones" sheetId="8" r:id="R85ee5c0659f14721"/>
    <x:sheet xmlns:r="http://schemas.openxmlformats.org/officeDocument/2006/relationships" name="UAT Contract" sheetId="9" r:id="R50fbc857a5994671"/>
    <x:sheet xmlns:r="http://schemas.openxmlformats.org/officeDocument/2006/relationships" name="Original Draft Layer" sheetId="10" r:id="Rec4f32a4e6004095"/>
    <x:sheet xmlns:r="http://schemas.openxmlformats.org/officeDocument/2006/relationships" name="Operational Backend" sheetId="11" r:id="Rc3af3fe9bfa3400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FFFFFF"/>
      <x:name val="Carlito"/>
    </x:font>
    <x:font>
      <x:b/>
      <x:sz val="11"/>
      <x:color rgb="FFFFFFFF"/>
      <x:name val="Carlito"/>
    </x:font>
    <x:font>
      <x:b/>
      <x:sz val="11"/>
      <x:color rgb="FF17202A"/>
      <x:name val="Carlito"/>
    </x:font>
    <x:font>
      <x:b/>
      <x:sz val="11"/>
      <x:color rgb="FF17212B"/>
      <x:name val="Carlito"/>
    </x:font>
  </x:fonts>
  <x:fills count="18">
    <x:fill>
      <x:patternFill patternType="none"/>
    </x:fill>
    <x:fill>
      <x:patternFill patternType="gray125"/>
    </x:fill>
    <x:fill>
      <x:patternFill patternType="solid">
        <x:fgColor rgb="FF12304A"/>
      </x:patternFill>
    </x:fill>
    <x:fill>
      <x:patternFill patternType="solid">
        <x:fgColor rgb="FF4D6046"/>
      </x:patternFill>
    </x:fill>
    <x:fill>
      <x:patternFill patternType="solid">
        <x:fgColor rgb="FF4D6046"/>
      </x:patternFill>
    </x:fill>
    <x:fill>
      <x:patternFill patternType="solid">
        <x:fgColor rgb="FFC49A52"/>
      </x:patternFill>
    </x:fill>
    <x:fill>
      <x:patternFill patternType="solid">
        <x:fgColor rgb="FF12304A"/>
      </x:patternFill>
    </x:fill>
    <x:fill>
      <x:patternFill patternType="solid">
        <x:fgColor rgb="FF12304A"/>
      </x:patternFill>
    </x:fill>
    <x:fill>
      <x:patternFill patternType="solid">
        <x:fgColor rgb="FF4D6046"/>
      </x:patternFill>
    </x:fill>
    <x:fill>
      <x:patternFill patternType="solid">
        <x:fgColor rgb="FF12304A"/>
      </x:patternFill>
    </x:fill>
    <x:fill>
      <x:patternFill patternType="solid">
        <x:fgColor rgb="FF12304A"/>
      </x:patternFill>
    </x:fill>
    <x:fill>
      <x:patternFill patternType="solid">
        <x:fgColor rgb="FF4D6046"/>
      </x:patternFill>
    </x:fill>
    <x:fill>
      <x:patternFill patternType="solid">
        <x:fgColor rgb="FF12304A"/>
      </x:patternFill>
    </x:fill>
    <x:fill>
      <x:patternFill patternType="solid">
        <x:fgColor rgb="FF12304A"/>
      </x:patternFill>
    </x:fill>
    <x:fill>
      <x:patternFill patternType="solid">
        <x:fgColor rgb="FF12304A"/>
      </x:patternFill>
    </x:fill>
    <x:fill>
      <x:patternFill patternType="solid">
        <x:fgColor rgb="FF12304A"/>
      </x:patternFill>
    </x:fill>
    <x:fill>
      <x:patternFill patternType="solid">
        <x:fgColor rgb="FF0B2742"/>
      </x:patternFill>
    </x:fill>
    <x:fill>
      <x:patternFill patternType="solid">
        <x:fgColor rgb="FFE9D4A7"/>
      </x:patternFill>
    </x:fill>
  </x:fills>
  <x:borders count="2">
    <x:border/>
    <x:border/>
  </x:borders>
  <x:cellStyleXfs count="1">
    <x:xf numFmtId="0" fontId="0" fillId="0" borderId="0"/>
  </x:cellStyleXfs>
  <x:cellXfs count="9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2" fillId="10" borderId="0" xfId="0" applyNumberFormat="1" applyFont="1" applyFill="1" applyBorder="1" applyAlignment="1">
      <x:alignment horizontal="center" wrapText="1"/>
    </x:xf>
    <x:xf numFmtId="0" fontId="2" fillId="10"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0" fontId="2" fillId="12" borderId="0" xfId="0" applyNumberFormat="1" applyFont="1" applyFill="1" applyBorder="1" applyAlignment="1">
      <x:alignment horizontal="center" vertical="center" wrapText="1"/>
    </x:xf>
    <x:xf numFmtId="0" fontId="0" fillId="13" borderId="0" xfId="0" applyNumberFormat="1" applyFont="1" applyFill="1" applyBorder="1" applyAlignment="1">
      <x:alignment wrapText="1"/>
    </x:xf>
    <x:xf numFmtId="0" fontId="2" fillId="13" borderId="0" xfId="0" applyNumberFormat="1" applyFont="1" applyFill="1" applyBorder="1" applyAlignment="1">
      <x:alignment wrapText="1"/>
    </x:xf>
    <x:xf numFmtId="0" fontId="2" fillId="13" borderId="0" xfId="0" applyNumberFormat="1" applyFont="1" applyFill="1" applyBorder="1" applyAlignment="1">
      <x:alignment horizontal="center" wrapText="1"/>
    </x:xf>
    <x:xf numFmtId="0" fontId="0" fillId="2" borderId="0" xfId="0" applyNumberFormat="1" applyFont="1" applyFill="1" applyBorder="1" applyAlignment="1">
      <x:alignment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horizontal="center"/>
    </x:xf>
    <x:xf numFmtId="0" fontId="2" fillId="16" borderId="0" xfId="0" applyNumberFormat="1" applyFont="1" applyFill="1" applyBorder="1" applyAlignment="1">
      <x:alignment horizontal="center" vertical="center"/>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applyAlignment="1">
      <x:alignment wrapText="1"/>
    </x:xf>
    <x:xf numFmtId="0" fontId="4" fillId="17" borderId="0" xfId="0" applyNumberFormat="1" applyFont="1" applyFill="1" applyBorder="1" applyAlignment="1">
      <x:alignment wrapText="1"/>
    </x:xf>
    <x:xf numFmtId="0" fontId="4" fillId="17" borderId="0" xfId="0" applyNumberFormat="1" applyFont="1" applyFill="1" applyBorder="1" applyAlignment="1">
      <x:alignment vertical="center" wrapText="1"/>
    </x:xf>
  </x:cellXfs>
  <x:cellStyles count="1">
    <x:cellStyle name="Normal" xfId="0"/>
  </x:cellStyles>
  <x:dxfs count="3">
    <x:dxf>
      <x:font>
        <x:color rgb="FF375623"/>
      </x:font>
      <x:fill>
        <x:patternFill>
          <x:bgColor rgb="FFE2F0D9"/>
        </x:patternFill>
      </x:fill>
    </x:dxf>
    <x:dxf>
      <x:font>
        <x:color rgb="FF7F6000"/>
      </x:font>
      <x:fill>
        <x:patternFill>
          <x:bgColor rgb="FFFFF2CC"/>
        </x:patternFill>
      </x:fill>
    </x:dxf>
    <x:dxf>
      <x:font>
        <x:color rgb="FFA61C00"/>
      </x:font>
      <x:fill>
        <x:patternFill>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a3a62b510c14a90" /><Relationship Type="http://schemas.openxmlformats.org/officeDocument/2006/relationships/theme" Target="/xl/theme/theme1.xml" Id="Ra875136fbb304def" /><Relationship Type="http://schemas.microsoft.com/office/2022/11/relationships/FeaturePropertyBag" Target="/xl/featurePropertyBag/featurePropertyBag.xml" Id="R074a903f56ff44ea" /><Relationship Type="http://schemas.openxmlformats.org/officeDocument/2006/relationships/sharedStrings" Target="/xl/sharedStrings.xml" Id="R27ec2c1921974ab1" /><Relationship Type="http://schemas.openxmlformats.org/officeDocument/2006/relationships/worksheet" Target="/xl/worksheets/sheet1.xml" Id="R9e0a4bbacc264efe" /><Relationship Type="http://schemas.openxmlformats.org/officeDocument/2006/relationships/worksheet" Target="/xl/worksheets/sheet2.xml" Id="Rceabf1ae235f4805" /><Relationship Type="http://schemas.openxmlformats.org/officeDocument/2006/relationships/worksheet" Target="/xl/worksheets/sheet3.xml" Id="R94073270c0de48c6" /><Relationship Type="http://schemas.openxmlformats.org/officeDocument/2006/relationships/worksheet" Target="/xl/worksheets/sheet4.xml" Id="R0a39917000554659" /><Relationship Type="http://schemas.openxmlformats.org/officeDocument/2006/relationships/worksheet" Target="/xl/worksheets/sheet5.xml" Id="R7af4d91861df4123" /><Relationship Type="http://schemas.openxmlformats.org/officeDocument/2006/relationships/worksheet" Target="/xl/worksheets/sheet6.xml" Id="R471c010437d94665" /><Relationship Type="http://schemas.openxmlformats.org/officeDocument/2006/relationships/worksheet" Target="/xl/worksheets/sheet7.xml" Id="R9a8d022e076844b4" /><Relationship Type="http://schemas.openxmlformats.org/officeDocument/2006/relationships/worksheet" Target="/xl/worksheets/sheet8.xml" Id="R85ee5c0659f14721" /><Relationship Type="http://schemas.openxmlformats.org/officeDocument/2006/relationships/worksheet" Target="/xl/worksheets/sheet9.xml" Id="R50fbc857a5994671" /><Relationship Type="http://schemas.openxmlformats.org/officeDocument/2006/relationships/worksheet" Target="/xl/worksheets/sheet10.xml" Id="Rec4f32a4e6004095" /><Relationship Type="http://schemas.openxmlformats.org/officeDocument/2006/relationships/worksheet" Target="/xl/worksheets/sheet11.xml" Id="Rc3af3fe9bfa340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GovernedSitesTable" displayName="GovernedSitesTable" ref="A1:AF80" headerRowCount="1">
  <x:tableColumns count="32">
    <x:tableColumn id="1" name="site_id"/>
    <x:tableColumn id="2" name="slug"/>
    <x:tableColumn id="3" name="name_ar"/>
    <x:tableColumn id="4" name="name_en"/>
    <x:tableColumn id="5" name="governorate_ar"/>
    <x:tableColumn id="6" name="locality_ar"/>
    <x:tableColumn id="7" name="site_type_ar"/>
    <x:tableColumn id="8" name="identity_status"/>
    <x:tableColumn id="9" name="special_hold"/>
    <x:tableColumn id="10" name="page_category"/>
    <x:tableColumn id="11" name="page_adoption_status"/>
    <x:tableColumn id="12" name="editorial_record_count"/>
    <x:tableColumn id="13" name="adoptable_source_count"/>
    <x:tableColumn id="14" name="adoptable_source_ids"/>
    <x:tableColumn id="15" name="research_source_ids"/>
    <x:tableColumn id="16" name="held_claim_count"/>
    <x:tableColumn id="17" name="held_p0"/>
    <x:tableColumn id="18" name="held_p1"/>
    <x:tableColumn id="19" name="held_p2"/>
    <x:tableColumn id="20" name="held_p3"/>
    <x:tableColumn id="21" name="p0_execution_count"/>
    <x:tableColumn id="22" name="p0_result_summary"/>
    <x:tableColumn id="23" name="parent_site_ids"/>
    <x:tableColumn id="24" name="constituent_site_ids"/>
    <x:tableColumn id="25" name="coordinate_status"/>
    <x:tableColumn id="26" name="direct_map_use"/>
    <x:tableColumn id="27" name="approved_media_assets"/>
    <x:tableColumn id="28" name="media_status"/>
    <x:tableColumn id="29" name="development_status"/>
    <x:tableColumn id="30" name="last_development_update"/>
    <x:tableColumn id="31" name="database_import"/>
    <x:tableColumn id="32" name="publication"/>
  </x:tableColumns>
  <x:tableStyleInfo name="TableStyleMedium2" showRowStripes="1"/>
</x:table>
</file>

<file path=xl/tables/table2.xml><?xml version="1.0" encoding="utf-8"?>
<x:table xmlns:x="http://schemas.openxmlformats.org/spreadsheetml/2006/main" id="2" name="GovernedSourcesTable" displayName="GovernedSourcesTable" ref="A1:N96" headerRowCount="1">
  <x:tableColumns count="14">
    <x:tableColumn id="1" name="source_id"/>
    <x:tableColumn id="2" name="title"/>
    <x:tableColumn id="3" name="institution_or_author"/>
    <x:tableColumn id="4" name="source_class"/>
    <x:tableColumn id="5" name="url"/>
    <x:tableColumn id="6" name="adoption_role"/>
    <x:tableColumn id="7" name="linked_site_count"/>
    <x:tableColumn id="8" name="linked_editorial_claim_count"/>
    <x:tableColumn id="9" name="bibliographic_status"/>
    <x:tableColumn id="10" name="evidence_scope_status"/>
    <x:tableColumn id="11" name="text_reuse_status"/>
    <x:tableColumn id="12" name="image_reuse_status"/>
    <x:tableColumn id="13" name="map_reuse_status"/>
    <x:tableColumn id="14" name="public_release"/>
  </x:tableColumns>
  <x:tableStyleInfo name="TableStyleMedium2" showRowStripes="1"/>
</x:table>
</file>

<file path=xl/tables/table3.xml><?xml version="1.0" encoding="utf-8"?>
<x:table xmlns:x="http://schemas.openxmlformats.org/spreadsheetml/2006/main" id="3" name="GovernedEditorialTable" displayName="GovernedEditorialTable" ref="A1:K93" headerRowCount="1">
  <x:tableColumns count="11">
    <x:tableColumn id="1" name="editorial_record_id"/>
    <x:tableColumn id="2" name="claim_id"/>
    <x:tableColumn id="3" name="canonical_site_id"/>
    <x:tableColumn id="4" name="canonical_slug"/>
    <x:tableColumn id="5" name="name_ar"/>
    <x:tableColumn id="6" name="historically_reviewed_text_ar"/>
    <x:tableColumn id="7" name="source_ids"/>
    <x:tableColumn id="8" name="historical_review_status"/>
    <x:tableColumn id="9" name="rights_status"/>
    <x:tableColumn id="10" name="database_import"/>
    <x:tableColumn id="11" name="publication"/>
  </x:tableColumns>
  <x:tableStyleInfo name="TableStyleMedium2" showRowStripes="1"/>
</x:table>
</file>

<file path=xl/tables/table4.xml><?xml version="1.0" encoding="utf-8"?>
<x:table xmlns:x="http://schemas.openxmlformats.org/spreadsheetml/2006/main" id="4" name="HeldClaimsTable" displayName="HeldClaimsTable" ref="A1:N212" headerRowCount="1">
  <x:tableColumns count="14">
    <x:tableColumn id="1" name="priority_record_id"/>
    <x:tableColumn id="2" name="held_claim_id"/>
    <x:tableColumn id="3" name="canonical_site_id"/>
    <x:tableColumn id="4" name="site_name_ar"/>
    <x:tableColumn id="5" name="governorate_ar"/>
    <x:tableColumn id="6" name="claim_text"/>
    <x:tableColumn id="7" name="priority_score"/>
    <x:tableColumn id="8" name="priority_tier"/>
    <x:tableColumn id="9" name="research_categories"/>
    <x:tableColumn id="10" name="research_status"/>
    <x:tableColumn id="11" name="requires_live_web_refresh"/>
    <x:tableColumn id="12" name="requires_field_or_geospatial_evidence"/>
    <x:tableColumn id="13" name="database_import"/>
    <x:tableColumn id="14" name="publication"/>
  </x:tableColumns>
  <x:tableStyleInfo name="TableStyleMedium2" showRowStripes="1"/>
</x:table>
</file>

<file path=xl/tables/table5.xml><?xml version="1.0" encoding="utf-8"?>
<x:table xmlns:x="http://schemas.openxmlformats.org/spreadsheetml/2006/main" id="5" name="RelationsTable" displayName="RelationsTable" ref="A1:K10" headerRowCount="1">
  <x:tableColumns count="11">
    <x:tableColumn id="1" name="relation_id"/>
    <x:tableColumn id="2" name="decision_id"/>
    <x:tableColumn id="3" name="source_site_id"/>
    <x:tableColumn id="4" name="source_slug"/>
    <x:tableColumn id="5" name="source_name_ar"/>
    <x:tableColumn id="6" name="relation_type"/>
    <x:tableColumn id="7" name="target_site_id"/>
    <x:tableColumn id="8" name="target_slug"/>
    <x:tableColumn id="9" name="target_name_ar"/>
    <x:tableColumn id="10" name="status"/>
    <x:tableColumn id="11" name="auto_applied_to_project"/>
  </x:tableColumns>
  <x:tableStyleInfo name="TableStyleMedium2" showRowStripes="1"/>
</x:table>
</file>

<file path=xl/tables/table6.xml><?xml version="1.0" encoding="utf-8"?>
<x:table xmlns:x="http://schemas.openxmlformats.org/spreadsheetml/2006/main" id="6" name="CoordinatesTable" displayName="CoordinatesTable" ref="A1:I80" headerRowCount="1">
  <x:tableColumns count="9">
    <x:tableColumn id="1" name="canonical_site_id"/>
    <x:tableColumn id="2" name="canonical_slug"/>
    <x:tableColumn id="3" name="name_ar"/>
    <x:tableColumn id="4" name="canonical_latitude"/>
    <x:tableColumn id="5" name="canonical_longitude"/>
    <x:tableColumn id="6" name="canonical_coordinate_status"/>
    <x:tableColumn id="7" name="canonical_value_mutated"/>
    <x:tableColumn id="8" name="external_candidates"/>
    <x:tableColumn id="9" name="direct_map_use"/>
  </x:tableColumns>
  <x:tableStyleInfo name="TableStyleMedium2" showRowStripes="1"/>
</x:table>
</file>

<file path=xl/tables/table7.xml><?xml version="1.0" encoding="utf-8"?>
<x:table xmlns:x="http://schemas.openxmlformats.org/spreadsheetml/2006/main" id="7" name="MilestonesTable" displayName="MilestonesTable" ref="A1:E14" headerRowCount="1">
  <x:tableColumns count="5">
    <x:tableColumn id="1" name="date"/>
    <x:tableColumn id="2" name="stage"/>
    <x:tableColumn id="3" name="result"/>
    <x:tableColumn id="4" name="summary_ar"/>
    <x:tableColumn id="5" name="evidenc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29cad3f6264d3d" /></Relationships>
</file>

<file path=xl/worksheets/_rels/sheet3.xml.rels>&#65279;<?xml version="1.0" encoding="utf-8"?><Relationships xmlns="http://schemas.openxmlformats.org/package/2006/relationships"><Relationship Type="http://schemas.openxmlformats.org/officeDocument/2006/relationships/table" Target="/xl/tables/table2.xml" Id="R57d614d09a534ae9" /></Relationships>
</file>

<file path=xl/worksheets/_rels/sheet4.xml.rels>&#65279;<?xml version="1.0" encoding="utf-8"?><Relationships xmlns="http://schemas.openxmlformats.org/package/2006/relationships"><Relationship Type="http://schemas.openxmlformats.org/officeDocument/2006/relationships/table" Target="/xl/tables/table3.xml" Id="Re7c4136f5e7a4b94" /></Relationships>
</file>

<file path=xl/worksheets/_rels/sheet5.xml.rels>&#65279;<?xml version="1.0" encoding="utf-8"?><Relationships xmlns="http://schemas.openxmlformats.org/package/2006/relationships"><Relationship Type="http://schemas.openxmlformats.org/officeDocument/2006/relationships/table" Target="/xl/tables/table4.xml" Id="R4743598fc8b448ed" /></Relationships>
</file>

<file path=xl/worksheets/_rels/sheet6.xml.rels>&#65279;<?xml version="1.0" encoding="utf-8"?><Relationships xmlns="http://schemas.openxmlformats.org/package/2006/relationships"><Relationship Type="http://schemas.openxmlformats.org/officeDocument/2006/relationships/table" Target="/xl/tables/table5.xml" Id="R93401077193b450a" /></Relationships>
</file>

<file path=xl/worksheets/_rels/sheet7.xml.rels>&#65279;<?xml version="1.0" encoding="utf-8"?><Relationships xmlns="http://schemas.openxmlformats.org/package/2006/relationships"><Relationship Type="http://schemas.openxmlformats.org/officeDocument/2006/relationships/table" Target="/xl/tables/table6.xml" Id="Rbceffbf0f862419c" /></Relationships>
</file>

<file path=xl/worksheets/_rels/sheet8.xml.rels>&#65279;<?xml version="1.0" encoding="utf-8"?><Relationships xmlns="http://schemas.openxmlformats.org/package/2006/relationships"><Relationship Type="http://schemas.openxmlformats.org/officeDocument/2006/relationships/table" Target="/xl/tables/table7.xml" Id="R591463265e1a4344" /></Relationships>
</file>

<file path=xl/worksheets/sheet1.xml><?xml version="1.0" encoding="utf-8"?>
<x:worksheet xmlns:x="http://schemas.openxmlformats.org/spreadsheetml/2006/main">
  <x:sheetFormatPr defaultRowHeight="15"/>
  <x:cols>
    <x:col min="1" max="1" width="30" hidden="0" customWidth="1"/>
    <x:col min="2" max="2" width="20" hidden="0" customWidth="1"/>
    <x:col min="3" max="3" width="34" hidden="0" customWidth="1"/>
    <x:col min="4" max="4" width="48" hidden="0" customWidth="1"/>
    <x:col min="5" max="5" width="43" hidden="0" customWidth="1"/>
    <x:col min="6" max="6" width="22" hidden="0" customWidth="1"/>
    <x:col min="7" max="7" width="22" hidden="0" customWidth="1"/>
    <x:col min="8" max="8" width="22" hidden="0" customWidth="1"/>
  </x:cols>
  <x:sheetData>
    <x:row r="1">
      <x:c r="A1" s="5" t="str">
        <x:v>بعيون فلسطينية — Direct Flutter Public Experience R9.0.0</x:v>
      </x:c>
      <x:c r="B1" s="5"/>
      <x:c r="C1" s="5"/>
      <x:c r="D1" s="5"/>
      <x:c r="E1" s="5"/>
      <x:c r="F1" s="5"/>
      <x:c r="G1" s="5"/>
      <x:c r="H1" s="5"/>
    </x:row>
    <x:row r="2">
      <x:c r="A2" s="5"/>
      <x:c r="B2" s="5"/>
      <x:c r="C2" s="5"/>
      <x:c r="D2" s="5"/>
      <x:c r="E2" s="5"/>
      <x:c r="F2" s="5"/>
      <x:c r="G2" s="5"/>
      <x:c r="H2" s="5"/>
    </x:row>
    <x:row r="4">
      <x:c r="A4" s="14" t="str">
        <x:v>المؤشر</x:v>
      </x:c>
      <x:c r="B4" s="14" t="str">
        <x:v>القيمة</x:v>
      </x:c>
      <x:c r="D4" s="14" t="str">
        <x:v>الحالة الحاكمة</x:v>
      </x:c>
      <x:c r="E4" s="14" t="str"/>
      <x:c r="F4" s="14" t="str"/>
      <x:c r="G4" s="14" t="str"/>
      <x:c r="H4" s="14" t="str"/>
    </x:row>
    <x:row r="5">
      <x:c r="A5" t="str">
        <x:v>إجمالي المواقع</x:v>
      </x:c>
      <x:c r="B5" t="n">
        <x:f>COUNTA(Sites!A2:A80)</x:f>
        <x:v>79</x:v>
      </x:c>
      <x:c r="D5" s="21" t="str">
        <x:v>Target Baseline</x:v>
      </x:c>
      <x:c r="E5" s="21" t="str">
        <x:v>PAL_EYES_DIRECT_FLUTTER_PUBLIC_EXPERIENCE_MATURITY_R9_0_0_20260802</x:v>
      </x:c>
      <x:c r="F5" s="21" t="str"/>
      <x:c r="G5" s="21" t="str"/>
      <x:c r="H5" s="21" t="str"/>
    </x:row>
    <x:row r="6">
      <x:c r="A6" t="str">
        <x:v>صفحات المسودة المحكومة</x:v>
      </x:c>
      <x:c r="B6" t="n">
        <x:f>COUNTIF(Sites!J2:J80,"GOVERNED_DRAFT_PAGE")</x:f>
        <x:v>57</x:v>
      </x:c>
      <x:c r="D6" s="21" t="str">
        <x:v>Implementation</x:v>
      </x:c>
      <x:c r="E6" s="21" t="str">
        <x:v>BUILT_PENDING_LOCAL_UAT_R9_0_0</x:v>
      </x:c>
      <x:c r="F6" s="21" t="str"/>
      <x:c r="G6" s="21" t="str"/>
      <x:c r="H6" s="21" t="str"/>
    </x:row>
    <x:row r="7">
      <x:c r="A7" t="str">
        <x:v>صفحات البحث المحدودة</x:v>
      </x:c>
      <x:c r="B7" t="n">
        <x:f>COUNTIF(Sites!J2:J80,"LIMITED_RESEARCH_PAGE")</x:f>
        <x:v>22</x:v>
      </x:c>
      <x:c r="D7" s="21" t="str">
        <x:v>Database Import</x:v>
      </x:c>
      <x:c r="E7" s="21" t="str">
        <x:v>BLOCKED</x:v>
      </x:c>
      <x:c r="F7" s="21" t="str">
        <x:v>Publication</x:v>
      </x:c>
      <x:c r="G7" s="21" t="str">
        <x:v>BLOCKED</x:v>
      </x:c>
      <x:c r="H7" s="21" t="str"/>
    </x:row>
    <x:row r="8">
      <x:c r="A8" t="str">
        <x:v>السجلات التحريرية المنفذة</x:v>
      </x:c>
      <x:c r="B8" t="n">
        <x:f>SUM(Sites!L2:L80)</x:f>
        <x:v>92</x:v>
      </x:c>
      <x:c r="D8" s="21" t="str">
        <x:v>Public Map Coordinates</x:v>
      </x:c>
      <x:c r="E8" s="21" t="n">
        <x:v>0</x:v>
      </x:c>
      <x:c r="F8" s="21" t="str">
        <x:v>Approved Media</x:v>
      </x:c>
      <x:c r="G8" s="21" t="n">
        <x:v>0</x:v>
      </x:c>
      <x:c r="H8" s="21" t="str"/>
    </x:row>
    <x:row r="9">
      <x:c r="A9" t="str">
        <x:v>المصادر المسجلة</x:v>
      </x:c>
      <x:c r="B9" t="n">
        <x:v>95</x:v>
      </x:c>
      <x:c r="D9" s="21" t="str">
        <x:v>Verification Phase 1</x:v>
      </x:c>
      <x:c r="E9" s="21" t="str">
        <x:v>STOP_POINT_REACHED</x:v>
      </x:c>
      <x:c r="F9" s="21" t="str"/>
      <x:c r="G9" s="21" t="str"/>
      <x:c r="H9" s="21" t="str"/>
    </x:row>
    <x:row r="10">
      <x:c r="A10" t="str">
        <x:v>الادعاءات المعلقة</x:v>
      </x:c>
      <x:c r="B10" t="n">
        <x:f>SUM(Sites!P2:P80)</x:f>
        <x:v>211</x:v>
      </x:c>
      <x:c r="D10" s="21" t="str">
        <x:v>Next Gate</x:v>
      </x:c>
      <x:c r="E10" s="21" t="str">
        <x:v>Apply R9.0.0, format/analyze/test, then desktop/mobile browser UAT</x:v>
      </x:c>
      <x:c r="F10" s="21" t="str"/>
      <x:c r="G10" s="21" t="str"/>
      <x:c r="H10" s="21" t="str"/>
    </x:row>
    <x:row r="11">
      <x:c r="A11" t="str">
        <x:v>الإحداثيات العامة</x:v>
      </x:c>
      <x:c r="B11" t="n">
        <x:v>0</x:v>
      </x:c>
      <x:c r="D11" s="21" t="str"/>
      <x:c r="E11" s="21" t="str"/>
      <x:c r="F11" s="21" t="str"/>
      <x:c r="G11" s="21" t="str"/>
      <x:c r="H11" s="21" t="str"/>
    </x:row>
    <x:row r="12">
      <x:c r="A12" t="str">
        <x:v>الإحداثيات للمراجعة</x:v>
      </x:c>
      <x:c r="B12" t="n">
        <x:f>COUNTIF(Sites!Y2:Y80,"available_for_review")</x:f>
        <x:v>3</x:v>
      </x:c>
      <x:c r="D12" s="21" t="str"/>
      <x:c r="E12" s="21" t="str"/>
      <x:c r="F12" s="21" t="str"/>
      <x:c r="G12" s="21" t="str"/>
      <x:c r="H12" s="21" t="str"/>
    </x:row>
    <x:row r="13">
      <x:c r="A13" t="str">
        <x:v>الوسائط المعتمدة</x:v>
      </x:c>
      <x:c r="B13" t="n">
        <x:v>0</x:v>
      </x:c>
    </x:row>
    <x:row r="14">
      <x:c r="A14" s="34" t="str">
        <x:v>طبقة المادة الأصلية</x:v>
      </x:c>
      <x:c r="B14" s="34" t="str">
        <x:v>القيمة</x:v>
      </x:c>
    </x:row>
    <x:row r="15">
      <x:c r="A15" s="20" t="str">
        <x:v>المواقع المرتبطة</x:v>
      </x:c>
      <x:c r="B15" s="20" t="n">
        <x:v>79</x:v>
      </x:c>
    </x:row>
    <x:row r="16">
      <x:c r="A16" s="20" t="str">
        <x:v>الروايات الأصلية الموسعة</x:v>
      </x:c>
      <x:c r="B16" s="20" t="n">
        <x:v>47</x:v>
      </x:c>
    </x:row>
    <x:row r="17">
      <x:c r="A17" s="20" t="str">
        <x:v>بطاقات الفهرسة الأصلية</x:v>
      </x:c>
      <x:c r="B17" s="20" t="n">
        <x:v>32</x:v>
      </x:c>
    </x:row>
    <x:row r="18">
      <x:c r="A18" s="20" t="str">
        <x:v>النشر العام</x:v>
      </x:c>
      <x:c r="B18" s="20" t="str">
        <x:v>BLOCKED</x:v>
      </x:c>
    </x:row>
    <x:row r="20">
      <x:c r="A20" s="53" t="str">
        <x:v>Product UX phase</x:v>
      </x:c>
      <x:c r="B20" s="53" t="str">
        <x:v>Status</x:v>
      </x:c>
      <x:c r="C20" s="53" t="str">
        <x:v>Primary surfaces</x:v>
      </x:c>
    </x:row>
    <x:row r="21">
      <x:c r="A21" s="20" t="str">
        <x:v>1 — Public Experience</x:v>
      </x:c>
      <x:c r="B21" s="20" t="str">
        <x:v>IMPLEMENTED_FOUNDATION</x:v>
      </x:c>
      <x:c r="C21" s="20" t="str">
        <x:v>Home, Discover, Places, Detail, Map, Sources</x:v>
      </x:c>
    </x:row>
    <x:row r="22">
      <x:c r="A22" s="20" t="str">
        <x:v>2 — Operational Workspace</x:v>
      </x:c>
      <x:c r="B22" s="20" t="str">
        <x:v>IMPLEMENTED_FOUNDATION</x:v>
      </x:c>
      <x:c r="C22" s="20" t="str">
        <x:v>Today, Registry, Editor, Sources, Claims, Reviews</x:v>
      </x:c>
    </x:row>
    <x:row r="23">
      <x:c r="A23" s="20" t="str">
        <x:v>3 — GIS / Media / Rights</x:v>
      </x:c>
      <x:c r="B23" s="20" t="str">
        <x:v>IMPLEMENTED_FOUNDATION</x:v>
      </x:c>
      <x:c r="C23" s="20" t="str">
        <x:v>GIS, Media Intake, Rights, Relationships</x:v>
      </x:c>
    </x:row>
    <x:row r="24">
      <x:c r="A24" s="20" t="str">
        <x:v>4 — Release Control</x:v>
      </x:c>
      <x:c r="B24" s="20" t="str">
        <x:v>IMPLEMENTED_FOUNDATION</x:v>
      </x:c>
      <x:c r="C24" s="20" t="str">
        <x:v>Preview, Approval, Candidate, Audit, Publication Gate</x:v>
      </x:c>
    </x:row>
    <x:row r="25">
      <x:c r="A25" s="20" t="str">
        <x:v>Publication</x:v>
      </x:c>
      <x:c r="B25" s="20" t="str">
        <x:v>BLOCKED</x:v>
      </x:c>
      <x:c r="C25" s="20" t="str">
        <x:v>No DB write / no production deploy</x:v>
      </x:c>
    </x:row>
    <x:row r="27">
      <x:c r="A27" s="57" t="str">
        <x:v>R6.0.1 closure</x:v>
      </x:c>
      <x:c r="B27" s="57" t="str">
        <x:v>Status</x:v>
      </x:c>
      <x:c r="C27" s="57" t="str">
        <x:v>Evidence</x:v>
      </x:c>
    </x:row>
    <x:row r="28">
      <x:c r="A28" s="20" t="str">
        <x:v>Compile static verifier</x:v>
      </x:c>
      <x:c r="B28" s="20" t="str">
        <x:v>REPAIRED</x:v>
      </x:c>
      <x:c r="C28" s="20" t="str">
        <x:v>Formatter-tolerant semantic marker</x:v>
      </x:c>
    </x:row>
    <x:row r="29">
      <x:c r="A29" s="20" t="str">
        <x:v>Analyzer findings</x:v>
      </x:c>
      <x:c r="B29" s="20" t="str">
        <x:v>TARGET 0</x:v>
      </x:c>
      <x:c r="C29" s="20" t="str">
        <x:v>Imports + underscore cleanup</x:v>
      </x:c>
    </x:row>
    <x:row r="30">
      <x:c r="A30" s="20" t="str">
        <x:v>SiteCard overflow</x:v>
      </x:c>
      <x:c r="B30" s="20" t="str">
        <x:v>REPAIRED</x:v>
      </x:c>
      <x:c r="C30" s="20" t="str">
        <x:v>24px × 3 cards</x:v>
      </x:c>
    </x:row>
    <x:row r="31">
      <x:c r="A31" s="20" t="str">
        <x:v>Visual UAT</x:v>
      </x:c>
      <x:c r="B31" s="20" t="str">
        <x:v>PRELIMINARY PASS</x:v>
      </x:c>
      <x:c r="C31" s="20" t="str">
        <x:v>Public home + workspace screenshots</x:v>
      </x:c>
    </x:row>
    <x:row r="33">
      <x:c r="A33" s="61" t="str">
        <x:v>R6.0.2 closure</x:v>
      </x:c>
      <x:c r="B33" s="61" t="str">
        <x:v>Status</x:v>
      </x:c>
      <x:c r="C33" s="61" t="str">
        <x:v>Evidence</x:v>
      </x:c>
    </x:row>
    <x:row r="34">
      <x:c r="A34" s="20" t="str">
        <x:v>Dart format</x:v>
      </x:c>
      <x:c r="B34" s="20" t="str">
        <x:v>PASS</x:v>
      </x:c>
      <x:c r="C34" s="20" t="str">
        <x:v>84 files / 0 changed</x:v>
      </x:c>
    </x:row>
    <x:row r="35">
      <x:c r="A35" s="20" t="str">
        <x:v>Flutter analyze</x:v>
      </x:c>
      <x:c r="B35" s="20" t="str">
        <x:v>PASS</x:v>
      </x:c>
      <x:c r="C35" s="20" t="str">
        <x:v>No issues found</x:v>
      </x:c>
    </x:row>
    <x:row r="36">
      <x:c r="A36" s="20" t="str">
        <x:v>Residual overflow</x:v>
      </x:c>
      <x:c r="B36" s="20" t="str">
        <x:v>REPAIRED</x:v>
      </x:c>
      <x:c r="C36" s="20" t="str">
        <x:v>4px</x:v>
      </x:c>
    </x:row>
    <x:row r="37">
      <x:c r="A37" s="20" t="str">
        <x:v>Chrome start</x:v>
      </x:c>
      <x:c r="B37" s="20" t="str">
        <x:v>PASS</x:v>
      </x:c>
      <x:c r="C37" s="20" t="str">
        <x:v>Debug service connected</x:v>
      </x:c>
    </x:row>
    <x:row r="39">
      <x:c r="A39" s="72" t="str">
        <x:v>R7.0.1 closure</x:v>
      </x:c>
      <x:c r="B39" s="72" t="str">
        <x:v>Status</x:v>
      </x:c>
      <x:c r="C39" s="72" t="str">
        <x:v>Evidence</x:v>
      </x:c>
    </x:row>
    <x:row r="40">
      <x:c r="A40" s="20" t="str">
        <x:v>Static operational backend</x:v>
      </x:c>
      <x:c r="B40" s="20" t="str">
        <x:v>PASS</x:v>
      </x:c>
      <x:c r="C40" s="20" t="str">
        <x:v>20 governed checks</x:v>
      </x:c>
    </x:row>
    <x:row r="41">
      <x:c r="A41" s="20" t="str">
        <x:v>Mapper compile errors</x:v>
      </x:c>
      <x:c r="B41" s="20" t="str">
        <x:v>REPAIRED</x:v>
      </x:c>
      <x:c r="C41" s="20" t="str">
        <x:v>HeritageSite coordinates</x:v>
      </x:c>
    </x:row>
    <x:row r="42">
      <x:c r="A42" s="20" t="str">
        <x:v>Backend label extension</x:v>
      </x:c>
      <x:c r="B42" s="20" t="str">
        <x:v>REPAIRED</x:v>
      </x:c>
      <x:c r="C42" s="20" t="str">
        <x:v>Explicit domain import</x:v>
      </x:c>
    </x:row>
    <x:row r="43">
      <x:c r="A43" s="20" t="str">
        <x:v>Analyzer info findings</x:v>
      </x:c>
      <x:c r="B43" s="20" t="str">
        <x:v>REPAIRED</x:v>
      </x:c>
      <x:c r="C43" s="20" t="str">
        <x:v>Constructors/context/formal</x:v>
      </x:c>
    </x:row>
    <x:row r="44">
      <x:c r="A44" s="20" t="str">
        <x:v>Seed SQL conflict update</x:v>
      </x:c>
      <x:c r="B44" s="20" t="str">
        <x:v>REPAIRED</x:v>
      </x:c>
      <x:c r="C44" s="20" t="str">
        <x:v>excluded.public_map_use</x:v>
      </x:c>
    </x:row>
    <x:row r="45">
      <x:c r="A45" s="20" t="str">
        <x:v>Database apply</x:v>
      </x:c>
      <x:c r="B45" s="20" t="str">
        <x:v>NOT EXECUTED</x:v>
      </x:c>
      <x:c r="C45" s="20" t="str">
        <x:v>Staging authorization required</x:v>
      </x:c>
    </x:row>
    <x:row r="46">
      <x:c r="A46" s="20" t="str">
        <x:v>Review tasks</x:v>
      </x:c>
      <x:c r="B46" s="20" t="str">
        <x:v>OPEN_INITIAL</x:v>
      </x:c>
      <x:c r="C46" s="20" t="n">
        <x:v>16</x:v>
      </x:c>
    </x:row>
    <x:row r="47">
      <x:c r="A47" s="75" t="str">
        <x:v>R7.0.2 coordinate parity</x:v>
      </x:c>
      <x:c r="B47" s="75" t="str">
        <x:v>Status</x:v>
      </x:c>
      <x:c r="C47" s="75" t="str">
        <x:v>Evidence</x:v>
      </x:c>
    </x:row>
    <x:row r="48">
      <x:c r="A48" s="20" t="str">
        <x:v>R7.0.1 static</x:v>
      </x:c>
      <x:c r="B48" s="20" t="str">
        <x:v>PASS</x:v>
      </x:c>
      <x:c r="C48" s="20" t="str">
        <x:v>All governed checks</x:v>
      </x:c>
    </x:row>
    <x:row r="49">
      <x:c r="A49" s="20" t="str">
        <x:v>R7.0.1 analyze</x:v>
      </x:c>
      <x:c r="B49" s="20" t="str">
        <x:v>PASS</x:v>
      </x:c>
      <x:c r="C49" s="20" t="str">
        <x:v>No issues found</x:v>
      </x:c>
    </x:row>
    <x:row r="50">
      <x:c r="A50" s="20" t="str">
        <x:v>R7.0.1 test</x:v>
      </x:c>
      <x:c r="B50" s="20" t="str">
        <x:v>1 FAIL</x:v>
      </x:c>
      <x:c r="C50" s="20" t="str">
        <x:v>Coordinate count 3 vs 4</x:v>
      </x:c>
    </x:row>
    <x:row r="51">
      <x:c r="A51" s="20" t="str">
        <x:v>Legacy catalog coordinates</x:v>
      </x:c>
      <x:c r="B51" s="20" t="n">
        <x:v>3</x:v>
      </x:c>
      <x:c r="C51" s="20" t="str">
        <x:v>Unchanged</x:v>
      </x:c>
    </x:row>
    <x:row r="52">
      <x:c r="A52" s="20" t="str">
        <x:v>Operational seed candidates</x:v>
      </x:c>
      <x:c r="B52" s="20" t="n">
        <x:v>4</x:v>
      </x:c>
      <x:c r="C52" s="20" t="str">
        <x:v>Exact SQL identities</x:v>
      </x:c>
    </x:row>
    <x:row r="53">
      <x:c r="A53" s="20" t="str">
        <x:v>Initial GIS review tasks</x:v>
      </x:c>
      <x:c r="B53" s="20" t="n">
        <x:v>4</x:v>
      </x:c>
      <x:c r="C53" s="20" t="str">
        <x:v>Total tasks 16</x:v>
      </x:c>
    </x:row>
    <x:row r="54">
      <x:c r="A54" s="20" t="str">
        <x:v>Public coordinates</x:v>
      </x:c>
      <x:c r="B54" s="20" t="n">
        <x:v>0</x:v>
      </x:c>
      <x:c r="C54" s="20" t="str">
        <x:v>Publication blocked</x:v>
      </x:c>
    </x:row>
    <x:row r="56">
      <x:c r="A56" s="81" t="str">
        <x:v>R8.0.0 public experience</x:v>
      </x:c>
      <x:c r="B56" s="81" t="str">
        <x:v>Status</x:v>
      </x:c>
      <x:c r="C56" s="81" t="str">
        <x:v>Measure</x:v>
      </x:c>
      <x:c r="D56" s="81" t="str">
        <x:v>Evidence</x:v>
      </x:c>
    </x:row>
    <x:row r="57">
      <x:c r="A57" s="20" t="str">
        <x:v>Public identity</x:v>
      </x:c>
      <x:c r="B57" s="20" t="str">
        <x:v>BUILT</x:v>
      </x:c>
      <x:c r="C57" s="20" t="str">
        <x:v>Atlas + Museum + Magazine</x:v>
      </x:c>
      <x:c r="D57" s="20" t="str">
        <x:v>3 product modes</x:v>
      </x:c>
    </x:row>
    <x:row r="58">
      <x:c r="A58" s="20" t="str">
        <x:v>Primary navigation</x:v>
      </x:c>
      <x:c r="B58" s="20" t="str">
        <x:v>BUILT</x:v>
      </x:c>
      <x:c r="C58" s="20" t="n">
        <x:v>5</x:v>
      </x:c>
      <x:c r="D58" s="20" t="str">
        <x:v>Simplified visitor path</x:v>
      </x:c>
    </x:row>
    <x:row r="59">
      <x:c r="A59" s="20" t="str">
        <x:v>Mobile navigation</x:v>
      </x:c>
      <x:c r="B59" s="20" t="str">
        <x:v>BUILT</x:v>
      </x:c>
      <x:c r="C59" s="20" t="n">
        <x:v>4</x:v>
      </x:c>
      <x:c r="D59" s="20" t="str">
        <x:v>Home/Search/Map/Stories</x:v>
      </x:c>
    </x:row>
    <x:row r="60">
      <x:c r="A60" s="20" t="str">
        <x:v>Search modes</x:v>
      </x:c>
      <x:c r="B60" s="20" t="str">
        <x:v>BUILT</x:v>
      </x:c>
      <x:c r="C60" s="20" t="n">
        <x:v>5</x:v>
      </x:c>
      <x:c r="D60" s="20" t="str">
        <x:v>Name/place/period/source/all</x:v>
      </x:c>
    </x:row>
    <x:row r="61">
      <x:c r="A61" s="20" t="str">
        <x:v>Sort options</x:v>
      </x:c>
      <x:c r="B61" s="20" t="str">
        <x:v>BUILT</x:v>
      </x:c>
      <x:c r="C61" s="20" t="n">
        <x:v>4</x:v>
      </x:c>
      <x:c r="D61" s="20" t="str">
        <x:v>Featured/name/governorate/material</x:v>
      </x:c>
    </x:row>
    <x:row r="62">
      <x:c r="A62" s="20" t="str">
        <x:v>Long-form stories</x:v>
      </x:c>
      <x:c r="B62" s="20" t="str">
        <x:v>BUILT</x:v>
      </x:c>
      <x:c r="C62" s="20" t="n">
        <x:v>3</x:v>
      </x:c>
      <x:c r="D62" s="20" t="str">
        <x:v>12 chapters</x:v>
      </x:c>
    </x:row>
    <x:row r="63">
      <x:c r="A63" s="20" t="str">
        <x:v>Public map</x:v>
      </x:c>
      <x:c r="B63" s="20" t="str">
        <x:v>FAIL-CLOSED</x:v>
      </x:c>
      <x:c r="C63" s="20" t="n">
        <x:v>0</x:v>
      </x:c>
      <x:c r="D63" s="20" t="str">
        <x:v>Approved coordinates only</x:v>
      </x:c>
    </x:row>
    <x:row r="64">
      <x:c r="A64" s="20" t="str">
        <x:v>Shared states</x:v>
      </x:c>
      <x:c r="B64" s="20" t="str">
        <x:v>BUILT</x:v>
      </x:c>
      <x:c r="C64" s="20" t="n">
        <x:v>3</x:v>
      </x:c>
      <x:c r="D64" s="20" t="str">
        <x:v>Loading/empty/error</x:v>
      </x:c>
    </x:row>
    <x:row r="65">
      <x:c r="A65" s="20" t="str">
        <x:v>Accessibility</x:v>
      </x:c>
      <x:c r="B65" s="20" t="str">
        <x:v>BUILT</x:v>
      </x:c>
      <x:c r="C65" s="20" t="n">
        <x:v>5</x:v>
      </x:c>
      <x:c r="D65" s="20" t="str">
        <x:v>Semantics/live regions/focus</x:v>
      </x:c>
    </x:row>
    <x:row r="66">
      <x:c r="A66" s="20" t="str">
        <x:v>Database write</x:v>
      </x:c>
      <x:c r="B66" s="20" t="str">
        <x:v>NONE</x:v>
      </x:c>
      <x:c r="C66" s="20" t="n">
        <x:v>0</x:v>
      </x:c>
      <x:c r="D66" s="20" t="str">
        <x:v>No database mutation</x:v>
      </x:c>
    </x:row>
    <x:row r="67">
      <x:c r="A67" s="20" t="str">
        <x:v>Publication</x:v>
      </x:c>
      <x:c r="B67" s="20" t="str">
        <x:v>BLOCKED</x:v>
      </x:c>
      <x:c r="C67" s="20" t="n">
        <x:v>0</x:v>
      </x:c>
      <x:c r="D67" s="20" t="str">
        <x:v>Human approval required</x:v>
      </x:c>
    </x:row>
    <x:row r="69">
      <x:c r="A69" s="86" t="str">
        <x:v>R8.0.1 closure</x:v>
      </x:c>
      <x:c r="B69" s="86" t="str">
        <x:v>Status</x:v>
      </x:c>
      <x:c r="C69" s="86" t="str">
        <x:v>Measure</x:v>
      </x:c>
      <x:c r="D69" s="86" t="str">
        <x:v>Evidence</x:v>
      </x:c>
    </x:row>
    <x:row r="70">
      <x:c r="A70" s="20" t="str">
        <x:v>R8.0.0 apply</x:v>
      </x:c>
      <x:c r="B70" s="20" t="str">
        <x:v>PASS</x:v>
      </x:c>
      <x:c r="C70" s="20" t="n">
        <x:v>40</x:v>
      </x:c>
      <x:c r="D70" s="20" t="str">
        <x:v>29 replaced + 11 created</x:v>
      </x:c>
    </x:row>
    <x:row r="71">
      <x:c r="A71" s="20" t="str">
        <x:v>R8.0.0 static</x:v>
      </x:c>
      <x:c r="B71" s="20" t="str">
        <x:v>PASS</x:v>
      </x:c>
      <x:c r="C71" s="20" t="n">
        <x:v>7</x:v>
      </x:c>
      <x:c r="D71" s="20" t="str">
        <x:v>All verifier suites</x:v>
      </x:c>
    </x:row>
    <x:row r="72">
      <x:c r="A72" s="20" t="str">
        <x:v>Analyzer findings</x:v>
      </x:c>
      <x:c r="B72" s="20" t="str">
        <x:v>REPAIRED</x:v>
      </x:c>
      <x:c r="C72" s="20" t="n">
        <x:v>2</x:v>
      </x:c>
      <x:c r="D72" s="20" t="str">
        <x:v>Import ordering only</x:v>
      </x:c>
    </x:row>
    <x:row r="73">
      <x:c r="A73" s="20" t="str">
        <x:v>Widget test failure</x:v>
      </x:c>
      <x:c r="B73" s="20" t="str">
        <x:v>REPAIRED</x:v>
      </x:c>
      <x:c r="C73" s="20" t="n">
        <x:v>1</x:v>
      </x:c>
      <x:c r="D73" s="20" t="str">
        <x:v>Legacy label assertion</x:v>
      </x:c>
    </x:row>
    <x:row r="74">
      <x:c r="A74" s="20" t="str">
        <x:v>Public badge</x:v>
      </x:c>
      <x:c r="B74" s="20" t="str">
        <x:v>PRESERVED</x:v>
      </x:c>
      <x:c r="C74" s="20" t="str">
        <x:v>حكاية موسعة</x:v>
      </x:c>
      <x:c r="D74" s="20" t="str">
        <x:v>364×402 boundary</x:v>
      </x:c>
    </x:row>
    <x:row r="75">
      <x:c r="A75" s="20" t="str">
        <x:v>R6 compatibility</x:v>
      </x:c>
      <x:c r="B75" s="20" t="str">
        <x:v>RECONCILED</x:v>
      </x:c>
      <x:c r="C75" s="20" t="n">
        <x:v>2</x:v>
      </x:c>
      <x:c r="D75" s="20" t="str">
        <x:v>R6.0.1 + R6.0.2</x:v>
      </x:c>
    </x:row>
    <x:row r="76">
      <x:c r="A76" s="20" t="str">
        <x:v>Database/publication</x:v>
      </x:c>
      <x:c r="B76" s="20" t="str">
        <x:v>UNCHANGED</x:v>
      </x:c>
      <x:c r="C76" s="20" t="n">
        <x:v>0</x:v>
      </x:c>
      <x:c r="D76" s="20" t="str">
        <x:v>No write; release blocked</x:v>
      </x:c>
    </x:row>
    <x:row r="78" ht="24" customHeight="1">
      <x:c r="A78" s="91" t="str">
        <x:v>R8.0.2 runtime closure</x:v>
      </x:c>
      <x:c r="B78" s="91" t="str">
        <x:v>Status</x:v>
      </x:c>
      <x:c r="C78" s="91" t="str">
        <x:v>Evidence</x:v>
      </x:c>
      <x:c r="D78" s="91"/>
    </x:row>
    <x:row r="79" ht="24" customHeight="1">
      <x:c r="A79" s="20" t="str">
        <x:v>Apply / static</x:v>
      </x:c>
      <x:c r="B79" s="20" t="str">
        <x:v>PASS</x:v>
      </x:c>
      <x:c r="C79" s="20" t="str">
        <x:v>Bounded media stage</x:v>
      </x:c>
      <x:c r="D79" s="20"/>
    </x:row>
    <x:row r="80" ht="24" customHeight="1">
      <x:c r="A80" s="20" t="str">
        <x:v>Flutter analyze</x:v>
      </x:c>
      <x:c r="B80" s="20" t="str">
        <x:v>PASS</x:v>
      </x:c>
      <x:c r="C80" s="20" t="str">
        <x:v>No issues found</x:v>
      </x:c>
      <x:c r="D80" s="20"/>
    </x:row>
    <x:row r="81" ht="24" customHeight="1">
      <x:c r="A81" s="20" t="str">
        <x:v>Flutter test</x:v>
      </x:c>
      <x:c r="B81" s="20" t="str">
        <x:v>PASS</x:v>
      </x:c>
      <x:c r="C81" s="20" t="str">
        <x:v>58 tests</x:v>
      </x:c>
      <x:c r="D81" s="20"/>
    </x:row>
    <x:row r="82" ht="24" customHeight="1">
      <x:c r="A82" s="20" t="str">
        <x:v>Browser runtime smoke</x:v>
      </x:c>
      <x:c r="B82" s="20" t="str">
        <x:v>PASS</x:v>
      </x:c>
      <x:c r="C82" s="20" t="str">
        <x:v>No Stack cascade</x:v>
      </x:c>
      <x:c r="D82" s="20"/>
    </x:row>
    <x:row r="83" ht="24" customHeight="1">
      <x:c r="A83" s="20" t="str">
        <x:v>Visual UAT</x:v>
      </x:c>
      <x:c r="B83" s="20" t="str">
        <x:v>PENDING</x:v>
      </x:c>
      <x:c r="C83" s="20" t="str">
        <x:v>Desktop + mobile</x:v>
      </x:c>
      <x:c r="D83" s="20"/>
    </x:row>
    <x:row r="84" ht="24" customHeight="1">
      <x:c r="A84" s="20"/>
      <x:c r="B84" s="20"/>
      <x:c r="C84" s="20"/>
      <x:c r="D84" s="20"/>
    </x:row>
    <x:row r="85" ht="24" customHeight="1">
      <x:c r="A85" s="91" t="str">
        <x:v>R9.0.0 direct Flutter maturity</x:v>
      </x:c>
      <x:c r="B85" s="91" t="str">
        <x:v>Status</x:v>
      </x:c>
      <x:c r="C85" s="91" t="str">
        <x:v>Evidence</x:v>
      </x:c>
      <x:c r="D85" s="91"/>
    </x:row>
    <x:row r="86" ht="24" customHeight="1">
      <x:c r="A86" s="20" t="str">
        <x:v>Figma workflow</x:v>
      </x:c>
      <x:c r="B86" s="20" t="str">
        <x:v>NON-AUTHORITATIVE</x:v>
      </x:c>
      <x:c r="C86" s="20" t="str">
        <x:v>Structure preserved</x:v>
      </x:c>
      <x:c r="D86" s="20"/>
    </x:row>
    <x:row r="87" ht="24" customHeight="1">
      <x:c r="A87" s="20" t="str">
        <x:v>Public identity</x:v>
      </x:c>
      <x:c r="B87" s="20" t="str">
        <x:v>BUILT</x:v>
      </x:c>
      <x:c r="C87" s="20" t="str">
        <x:v>Atlas + Museum + Magazine</x:v>
      </x:c>
      <x:c r="D87" s="20"/>
    </x:row>
    <x:row r="88" ht="24" customHeight="1">
      <x:c r="A88" s="20" t="str">
        <x:v>Atlas / magazine preludes</x:v>
      </x:c>
      <x:c r="B88" s="20" t="str">
        <x:v>BUILT</x:v>
      </x:c>
      <x:c r="C88" s="20" t="str">
        <x:v>Editorial metrics + journeys</x:v>
      </x:c>
      <x:c r="D88" s="20"/>
    </x:row>
    <x:row r="89" ht="24" customHeight="1">
      <x:c r="A89" s="20" t="str">
        <x:v>Place detail</x:v>
      </x:c>
      <x:c r="B89" s="20" t="str">
        <x:v>BUILT</x:v>
      </x:c>
      <x:c r="C89" s="20" t="str">
        <x:v>Accessible content compass</x:v>
      </x:c>
      <x:c r="D89" s="20"/>
    </x:row>
    <x:row r="90" ht="24" customHeight="1">
      <x:c r="A90" s="20" t="str">
        <x:v>Story detail</x:v>
      </x:c>
      <x:c r="B90" s="20" t="str">
        <x:v>BUILT</x:v>
      </x:c>
      <x:c r="C90" s="20" t="str">
        <x:v>Chapter rail + reading frame</x:v>
      </x:c>
      <x:c r="D90" s="20"/>
    </x:row>
    <x:row r="91" ht="24" customHeight="1">
      <x:c r="A91" s="20" t="str">
        <x:v>Map zero-coordinate state</x:v>
      </x:c>
      <x:c r="B91" s="20" t="str">
        <x:v>BUILT</x:v>
      </x:c>
      <x:c r="C91" s="20" t="str">
        <x:v>Useful fail-closed gateway</x:v>
      </x:c>
      <x:c r="D91" s="20"/>
    </x:row>
    <x:row r="92" ht="24" customHeight="1">
      <x:c r="A92" s="20" t="str">
        <x:v>390px RTL tests</x:v>
      </x:c>
      <x:c r="B92" s="20" t="str">
        <x:v>ADDED</x:v>
      </x:c>
      <x:c r="C92" s="20" t="str">
        <x:v>No exception contract</x:v>
      </x:c>
      <x:c r="D92" s="20"/>
    </x:row>
    <x:row r="93" ht="24" customHeight="1">
      <x:c r="A93" s="20" t="str">
        <x:v>Database / publication</x:v>
      </x:c>
      <x:c r="B93" s="20" t="str">
        <x:v>BLOCKED</x:v>
      </x:c>
      <x:c r="C93" s="20" t="str">
        <x:v>No write; no release</x:v>
      </x:c>
      <x:c r="D93" s="20"/>
    </x:row>
  </x:sheetData>
  <x:mergeCells>
    <x:mergeCell ref="A1:H2"/>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26" hidden="0" customWidth="1"/>
    <x:col min="5" max="5" width="18" hidden="0" customWidth="1"/>
    <x:col min="6" max="6" width="18" hidden="0" customWidth="1"/>
    <x:col min="7" max="7" width="18" hidden="0" customWidth="1"/>
    <x:col min="8" max="8" width="26" hidden="0" customWidth="1"/>
    <x:col min="9" max="9" width="18" hidden="0" customWidth="1"/>
    <x:col min="10" max="10" width="18" hidden="0" customWidth="1"/>
    <x:col min="11" max="11" width="26" hidden="0" customWidth="1"/>
    <x:col min="12" max="12" width="18" hidden="0" customWidth="1"/>
    <x:col min="13" max="13" width="18" hidden="0" customWidth="1"/>
    <x:col min="14" max="14" width="38" hidden="0" customWidth="1"/>
    <x:col min="15" max="15" width="38" hidden="0" customWidth="1"/>
    <x:col min="16" max="16" width="26" hidden="0" customWidth="1"/>
    <x:col min="17" max="17" width="18" hidden="0" customWidth="1"/>
    <x:col min="18" max="18" width="18" hidden="0" customWidth="1"/>
    <x:col min="19" max="19" width="18" hidden="0" customWidth="1"/>
    <x:col min="20" max="20" width="18" hidden="0" customWidth="1"/>
    <x:col min="21" max="21" width="18" hidden="0" customWidth="1"/>
    <x:col min="22" max="22" width="38" hidden="0" customWidth="1"/>
    <x:col min="23" max="23" width="38" hidden="0" customWidth="1"/>
    <x:col min="24" max="24" width="38" hidden="0" customWidth="1"/>
    <x:col min="25" max="25" width="26" hidden="0" customWidth="1"/>
    <x:col min="26" max="26" width="18" hidden="0" customWidth="1"/>
    <x:col min="27" max="27" width="18" hidden="0" customWidth="1"/>
    <x:col min="28" max="28" width="26" hidden="0" customWidth="1"/>
    <x:col min="29" max="29" width="26" hidden="0" customWidth="1"/>
    <x:col min="30" max="30" width="18" hidden="0" customWidth="1"/>
    <x:col min="31" max="31" width="18" hidden="0" customWidth="1"/>
    <x:col min="32" max="32" width="18" hidden="0" customWidth="1"/>
    <x:col min="33" max="33" width="24" hidden="0" customWidth="1"/>
    <x:col min="34" max="34" width="18" hidden="0" customWidth="1"/>
    <x:col min="35" max="35" width="18" hidden="0" customWidth="1"/>
    <x:col min="36" max="36" width="26" hidden="0" customWidth="1"/>
    <x:col min="37" max="37" width="20" hidden="0" customWidth="1"/>
  </x:cols>
  <x:sheetData>
    <x:row r="1">
      <x:c r="A1" s="14" t="str">
        <x:v>site_id</x:v>
      </x:c>
      <x:c r="B1" s="14" t="str">
        <x:v>slug</x:v>
      </x:c>
      <x:c r="C1" s="14" t="str">
        <x:v>name_ar</x:v>
      </x:c>
      <x:c r="D1" s="14" t="str">
        <x:v>name_en</x:v>
      </x:c>
      <x:c r="E1" s="14" t="str">
        <x:v>governorate_ar</x:v>
      </x:c>
      <x:c r="F1" s="14" t="str">
        <x:v>locality_ar</x:v>
      </x:c>
      <x:c r="G1" s="14" t="str">
        <x:v>site_type_ar</x:v>
      </x:c>
      <x:c r="H1" s="14" t="str">
        <x:v>identity_status</x:v>
      </x:c>
      <x:c r="I1" s="14" t="str">
        <x:v>special_hold</x:v>
      </x:c>
      <x:c r="J1" s="14" t="str">
        <x:v>page_category</x:v>
      </x:c>
      <x:c r="K1" s="14" t="str">
        <x:v>page_adoption_status</x:v>
      </x:c>
      <x:c r="L1" s="14" t="str">
        <x:v>editorial_record_count</x:v>
      </x:c>
      <x:c r="M1" s="14" t="str">
        <x:v>adoptable_source_count</x:v>
      </x:c>
      <x:c r="N1" s="14" t="str">
        <x:v>adoptable_source_ids</x:v>
      </x:c>
      <x:c r="O1" s="14" t="str">
        <x:v>research_source_ids</x:v>
      </x:c>
      <x:c r="P1" s="14" t="str">
        <x:v>held_claim_count</x:v>
      </x:c>
      <x:c r="Q1" s="14" t="str">
        <x:v>held_p0</x:v>
      </x:c>
      <x:c r="R1" s="14" t="str">
        <x:v>held_p1</x:v>
      </x:c>
      <x:c r="S1" s="14" t="str">
        <x:v>held_p2</x:v>
      </x:c>
      <x:c r="T1" s="14" t="str">
        <x:v>held_p3</x:v>
      </x:c>
      <x:c r="U1" s="14" t="str">
        <x:v>p0_execution_count</x:v>
      </x:c>
      <x:c r="V1" s="14" t="str">
        <x:v>p0_result_summary</x:v>
      </x:c>
      <x:c r="W1" s="14" t="str">
        <x:v>parent_site_ids</x:v>
      </x:c>
      <x:c r="X1" s="14" t="str">
        <x:v>constituent_site_ids</x:v>
      </x:c>
      <x:c r="Y1" s="14" t="str">
        <x:v>coordinate_status</x:v>
      </x:c>
      <x:c r="Z1" s="14" t="str">
        <x:v>direct_map_use</x:v>
      </x:c>
      <x:c r="AA1" s="14" t="str">
        <x:v>approved_media_assets</x:v>
      </x:c>
      <x:c r="AB1" s="14" t="str">
        <x:v>media_status</x:v>
      </x:c>
      <x:c r="AC1" s="14" t="str">
        <x:v>development_status</x:v>
      </x:c>
      <x:c r="AD1" s="14" t="str">
        <x:v>last_development_update</x:v>
      </x:c>
      <x:c r="AE1" s="14" t="str">
        <x:v>database_import</x:v>
      </x:c>
      <x:c r="AF1" s="14" t="str">
        <x:v>publication</x:v>
      </x:c>
      <x:c r="AG1" s="39" t="str">
        <x:v>original_draft_profile</x:v>
      </x:c>
      <x:c r="AH1" s="39" t="str">
        <x:v>original_draft_section_count</x:v>
      </x:c>
      <x:c r="AI1" s="39" t="str">
        <x:v>original_draft_source_mentions</x:v>
      </x:c>
      <x:c r="AJ1" s="39" t="str">
        <x:v>original_draft_development_visibility</x:v>
      </x:c>
      <x:c r="AK1" s="39" t="str">
        <x:v>original_draft_public_release</x:v>
      </x:c>
    </x:row>
    <x:row r="2">
      <x:c r="A2" s="21" t="str">
        <x:v>site-4aeec5656d1d</x:v>
      </x:c>
      <x:c r="B2" s="21" t="str">
        <x:v>lmsjd-l-qs-lmbrk-lhrm-lqdsy-lshryf-4aeec5</x:v>
      </x:c>
      <x:c r="C2" s="21" t="str">
        <x:v>المسجد الأقصى المبارك / الحرم القدسي الشريف</x:v>
      </x:c>
      <x:c r="D2" s="21" t="str">
        <x:v>Al-Aqsa Mosque / Al-Haram al-Sharif</x:v>
      </x:c>
      <x:c r="E2" s="21" t="str">
        <x:v>القدس</x:v>
      </x:c>
      <x:c r="F2" s="21" t="str">
        <x:v>القدس القديمة</x:v>
      </x:c>
      <x:c r="G2" s="21" t="str">
        <x:v>مسجد/حرم</x:v>
      </x:c>
      <x:c r="H2" s="21" t="str">
        <x:v>canonical_identity_preserved_no_identity_decision</x:v>
      </x:c>
      <x:c r="I2" s="21" t="str"/>
      <x:c r="J2" s="21" t="str">
        <x:v>GOVERNED_DRAFT_PAGE</x:v>
      </x:c>
      <x:c r="K2" s="21" t="str">
        <x:v>IMPLEMENTED_PENDING_LOCAL_UAT</x:v>
      </x:c>
      <x:c r="L2" s="21" t="n">
        <x:v>1</x:v>
      </x:c>
      <x:c r="M2" s="21" t="n">
        <x:v>1</x:v>
      </x:c>
      <x:c r="N2" s="21" t="str">
        <x:v>AUTH-UNESCO-JERUSALEM-DECISION-001</x:v>
      </x:c>
      <x:c r="O2" s="21" t="str">
        <x:v>P0-SRC-UNESCO-JERUSALEM-SOC-2026</x:v>
      </x:c>
      <x:c r="P2" s="21" t="n">
        <x:v>1</x:v>
      </x:c>
      <x:c r="Q2" s="21" t="n">
        <x:v>1</x:v>
      </x:c>
      <x:c r="R2" s="21" t="n">
        <x:v>0</x:v>
      </x:c>
      <x:c r="S2" s="21" t="n">
        <x:v>0</x:v>
      </x:c>
      <x:c r="T2" s="21" t="n">
        <x:v>0</x:v>
      </x:c>
      <x:c r="U2" s="21" t="n">
        <x:v>1</x:v>
      </x:c>
      <x:c r="V2" s="21" t="str">
        <x:v>P0_CLOSED_CORRECTIVE_FINDING:site-4aeec5656d1d-W1-H01</x:v>
      </x:c>
      <x:c r="W2" s="21" t="str"/>
      <x:c r="X2" s="21" t="str"/>
      <x:c r="Y2" s="21" t="str">
        <x:v>needs_geospatial_verification</x:v>
      </x:c>
      <x:c r="Z2" s="21" t="str">
        <x:v>BLOCKED</x:v>
      </x:c>
      <x:c r="AA2" s="21" t="n">
        <x:v>0</x:v>
      </x:c>
      <x:c r="AB2" s="21" t="str">
        <x:v>NO_APPROVED_MEDIA_ASSET</x:v>
      </x:c>
      <x:c r="AC2" s="21" t="str">
        <x:v>R9_0_0_UI_BUILT_PENDING_LOCAL_UAT</x:v>
      </x:c>
      <x:c r="AD2" s="21" t="str">
        <x:v>2026-08-02</x:v>
      </x:c>
      <x:c r="AE2" s="21" t="str">
        <x:v>BLOCKED</x:v>
      </x:c>
      <x:c r="AF2" s="21" t="str">
        <x:v>BLOCKED</x:v>
      </x:c>
      <x:c r="AG2" s="20" t="str">
        <x:v>expandedNarrative</x:v>
      </x:c>
      <x:c r="AH2" s="20" t="n">
        <x:v>9</x:v>
      </x:c>
      <x:c r="AI2" s="20" t="n">
        <x:v>1</x:v>
      </x:c>
      <x:c r="AJ2" s="20" t="str">
        <x:v>DEBUG_ONLY</x:v>
      </x:c>
      <x:c r="AK2" s="20" t="str">
        <x:v>BLOCKED</x:v>
      </x:c>
    </x:row>
    <x:row r="3">
      <x:c r="A3" s="21" t="str">
        <x:v>site-f9df0c7e708c</x:v>
      </x:c>
      <x:c r="B3" s="21" t="str">
        <x:v>bld-slwn-f9df0c</x:v>
      </x:c>
      <x:c r="C3" s="21" t="str">
        <x:v>بلدة سلوان</x:v>
      </x:c>
      <x:c r="D3" s="21" t="str"/>
      <x:c r="E3" s="21" t="str">
        <x:v>القدس</x:v>
      </x:c>
      <x:c r="F3" s="21" t="str">
        <x:v>سلوان</x:v>
      </x:c>
      <x:c r="G3" s="21" t="str">
        <x:v>بلدة قديمة</x:v>
      </x:c>
      <x:c r="H3" s="21" t="str">
        <x:v>preserved_claim_level_review_only</x:v>
      </x:c>
      <x:c r="I3" s="21" t="str"/>
      <x:c r="J3" s="21" t="str">
        <x:v>GOVERNED_DRAFT_PAGE</x:v>
      </x:c>
      <x:c r="K3" s="21" t="str">
        <x:v>IMPLEMENTED_PENDING_LOCAL_UAT</x:v>
      </x:c>
      <x:c r="L3" s="21" t="n">
        <x:v>2</x:v>
      </x:c>
      <x:c r="M3" s="21" t="n">
        <x:v>2</x:v>
      </x:c>
      <x:c r="N3" s="21" t="str">
        <x:v>W2-AUTH-UNESCO-JERUSALEM-EXTENSION-001; W2-AUTH-UNESCO-JERUSALEM-MONITOR-2015</x:v>
      </x:c>
      <x:c r="O3" s="21" t="str">
        <x:v>P0-SRC-UNESCO-JERUSALEM-SOC-2026</x:v>
      </x:c>
      <x:c r="P3" s="21" t="n">
        <x:v>2</x:v>
      </x:c>
      <x:c r="Q3" s="21" t="n">
        <x:v>1</x:v>
      </x:c>
      <x:c r="R3" s="21" t="n">
        <x:v>0</x:v>
      </x:c>
      <x:c r="S3" s="21" t="n">
        <x:v>0</x:v>
      </x:c>
      <x:c r="T3" s="21" t="n">
        <x:v>1</x:v>
      </x:c>
      <x:c r="U3" s="21" t="n">
        <x:v>1</x:v>
      </x:c>
      <x:c r="V3" s="21" t="str">
        <x:v>P0_PARTIAL_DOCUMENTARY_CLOSURE:site-f9df0c7e708c-W2-H02</x:v>
      </x:c>
      <x:c r="W3" s="21" t="str"/>
      <x:c r="X3" s="21" t="str"/>
      <x:c r="Y3" s="21" t="str">
        <x:v>needs_geospatial_verification</x:v>
      </x:c>
      <x:c r="Z3" s="21" t="str">
        <x:v>BLOCKED</x:v>
      </x:c>
      <x:c r="AA3" s="21" t="n">
        <x:v>0</x:v>
      </x:c>
      <x:c r="AB3" s="21" t="str">
        <x:v>NO_APPROVED_MEDIA_ASSET</x:v>
      </x:c>
      <x:c r="AC3" s="21" t="str">
        <x:v>R9_0_0_UI_BUILT_PENDING_LOCAL_UAT</x:v>
      </x:c>
      <x:c r="AD3" s="21" t="str">
        <x:v>2026-08-02</x:v>
      </x:c>
      <x:c r="AE3" s="21" t="str">
        <x:v>BLOCKED</x:v>
      </x:c>
      <x:c r="AF3" s="21" t="str">
        <x:v>BLOCKED</x:v>
      </x:c>
      <x:c r="AG3" s="20" t="str">
        <x:v>catalogSummary</x:v>
      </x:c>
      <x:c r="AH3" s="20" t="n">
        <x:v>0</x:v>
      </x:c>
      <x:c r="AI3" s="20" t="n">
        <x:v>1</x:v>
      </x:c>
      <x:c r="AJ3" s="20" t="str">
        <x:v>DEBUG_ONLY</x:v>
      </x:c>
      <x:c r="AK3" s="20" t="str">
        <x:v>BLOCKED</x:v>
      </x:c>
    </x:row>
    <x:row r="4">
      <x:c r="A4" s="21" t="str">
        <x:v>site-f9067873c322</x:v>
      </x:c>
      <x:c r="B4" s="21" t="str">
        <x:v>hy-t-lbrq-f90678</x:v>
      </x:c>
      <x:c r="C4" s="21" t="str">
        <x:v>حائط البراق</x:v>
      </x:c>
      <x:c r="D4" s="21" t="str">
        <x:v>Al-Buraq Wall</x:v>
      </x:c>
      <x:c r="E4" s="21" t="str">
        <x:v>القدس</x:v>
      </x:c>
      <x:c r="F4" s="21" t="str">
        <x:v>القدس القديمة</x:v>
      </x:c>
      <x:c r="G4" s="21" t="str">
        <x:v>جدار تاريخي</x:v>
      </x:c>
      <x:c r="H4" s="21" t="str">
        <x:v>canonical_identity_preserved_no_identity_decision</x:v>
      </x:c>
      <x:c r="I4" s="21" t="str"/>
      <x:c r="J4" s="21" t="str">
        <x:v>GOVERNED_DRAFT_PAGE</x:v>
      </x:c>
      <x:c r="K4" s="21" t="str">
        <x:v>IMPLEMENTED_PENDING_LOCAL_UAT</x:v>
      </x:c>
      <x:c r="L4" s="21" t="n">
        <x:v>2</x:v>
      </x:c>
      <x:c r="M4" s="21" t="n">
        <x:v>2</x:v>
      </x:c>
      <x:c r="N4" s="21" t="str">
        <x:v>W2-AUTH-UNESCO-JERUSALEM-001; W2-AUTH-UNISPAL-WESTERN-WALL-1930</x:v>
      </x:c>
      <x:c r="O4" s="21" t="str">
        <x:v>P0-SRC-UNESCO-JERUSALEM-SOC-2026</x:v>
      </x:c>
      <x:c r="P4" s="21" t="n">
        <x:v>3</x:v>
      </x:c>
      <x:c r="Q4" s="21" t="n">
        <x:v>1</x:v>
      </x:c>
      <x:c r="R4" s="21" t="n">
        <x:v>0</x:v>
      </x:c>
      <x:c r="S4" s="21" t="n">
        <x:v>0</x:v>
      </x:c>
      <x:c r="T4" s="21" t="n">
        <x:v>2</x:v>
      </x:c>
      <x:c r="U4" s="21" t="n">
        <x:v>1</x:v>
      </x:c>
      <x:c r="V4" s="21" t="str">
        <x:v>P0_LEGAL_SPECIALIST_REVIEW_REQUIRED:site-f9067873c322-W2-H02</x:v>
      </x:c>
      <x:c r="W4" s="21" t="str"/>
      <x:c r="X4" s="21" t="str"/>
      <x:c r="Y4" s="21" t="str">
        <x:v>needs_geospatial_verification</x:v>
      </x:c>
      <x:c r="Z4" s="21" t="str">
        <x:v>BLOCKED</x:v>
      </x:c>
      <x:c r="AA4" s="21" t="n">
        <x:v>0</x:v>
      </x:c>
      <x:c r="AB4" s="21" t="str">
        <x:v>NO_APPROVED_MEDIA_ASSET</x:v>
      </x:c>
      <x:c r="AC4" s="21" t="str">
        <x:v>R9_0_0_UI_BUILT_PENDING_LOCAL_UAT</x:v>
      </x:c>
      <x:c r="AD4" s="21" t="str">
        <x:v>2026-08-02</x:v>
      </x:c>
      <x:c r="AE4" s="21" t="str">
        <x:v>BLOCKED</x:v>
      </x:c>
      <x:c r="AF4" s="21" t="str">
        <x:v>BLOCKED</x:v>
      </x:c>
      <x:c r="AG4" s="20" t="str">
        <x:v>expandedNarrative</x:v>
      </x:c>
      <x:c r="AH4" s="20" t="n">
        <x:v>6</x:v>
      </x:c>
      <x:c r="AI4" s="20" t="n">
        <x:v>1</x:v>
      </x:c>
      <x:c r="AJ4" s="20" t="str">
        <x:v>DEBUG_ONLY</x:v>
      </x:c>
      <x:c r="AK4" s="20" t="str">
        <x:v>BLOCKED</x:v>
      </x:c>
    </x:row>
    <x:row r="5">
      <x:c r="A5" s="21" t="str">
        <x:v>site-9b42bff63df0</x:v>
      </x:c>
      <x:c r="B5" s="21" t="str">
        <x:v>khn-ljwbr-9b42bf</x:v>
      </x:c>
      <x:c r="C5" s="21" t="str">
        <x:v>خان الجوابرة</x:v>
      </x:c>
      <x:c r="D5" s="21" t="str"/>
      <x:c r="E5" s="21" t="str">
        <x:v>القدس</x:v>
      </x:c>
      <x:c r="F5" s="21" t="str">
        <x:v>القدس القديمة</x:v>
      </x:c>
      <x:c r="G5" s="21" t="str">
        <x:v>خان</x:v>
      </x:c>
      <x:c r="H5" s="21" t="str">
        <x:v>canonical_identity_preserved_no_identity_decision</x:v>
      </x:c>
      <x:c r="I5" s="21" t="str"/>
      <x:c r="J5" s="21" t="str">
        <x:v>LIMITED_RESEARCH_PAGE</x:v>
      </x:c>
      <x:c r="K5" s="21" t="str">
        <x:v>IMPLEMENTED_PENDING_LOCAL_UAT</x:v>
      </x:c>
      <x:c r="L5" s="21" t="n">
        <x:v>0</x:v>
      </x:c>
      <x:c r="M5" s="21" t="n">
        <x:v>0</x:v>
      </x:c>
      <x:c r="N5" s="21" t="str"/>
      <x:c r="O5" s="21" t="str"/>
      <x:c r="P5" s="21" t="n">
        <x:v>3</x:v>
      </x:c>
      <x:c r="Q5" s="21" t="n">
        <x:v>0</x:v>
      </x:c>
      <x:c r="R5" s="21" t="n">
        <x:v>1</x:v>
      </x:c>
      <x:c r="S5" s="21" t="n">
        <x:v>1</x:v>
      </x:c>
      <x:c r="T5" s="21" t="n">
        <x:v>1</x:v>
      </x:c>
      <x:c r="U5" s="21" t="n">
        <x:v>0</x:v>
      </x:c>
      <x:c r="V5" s="21" t="str"/>
      <x:c r="W5" s="21" t="str"/>
      <x:c r="X5" s="21" t="str"/>
      <x:c r="Y5" s="21" t="str">
        <x:v>needs_geospatial_verification</x:v>
      </x:c>
      <x:c r="Z5" s="21" t="str">
        <x:v>BLOCKED</x:v>
      </x:c>
      <x:c r="AA5" s="21" t="n">
        <x:v>0</x:v>
      </x:c>
      <x:c r="AB5" s="21" t="str">
        <x:v>NO_APPROVED_MEDIA_ASSET</x:v>
      </x:c>
      <x:c r="AC5" s="21" t="str">
        <x:v>R9_0_0_UI_BUILT_PENDING_LOCAL_UAT</x:v>
      </x:c>
      <x:c r="AD5" s="21" t="str">
        <x:v>2026-08-02</x:v>
      </x:c>
      <x:c r="AE5" s="21" t="str">
        <x:v>BLOCKED</x:v>
      </x:c>
      <x:c r="AF5" s="21" t="str">
        <x:v>BLOCKED</x:v>
      </x:c>
      <x:c r="AG5" s="20" t="str">
        <x:v>catalogSummary</x:v>
      </x:c>
      <x:c r="AH5" s="20" t="n">
        <x:v>0</x:v>
      </x:c>
      <x:c r="AI5" s="20" t="n">
        <x:v>1</x:v>
      </x:c>
      <x:c r="AJ5" s="20" t="str">
        <x:v>DEBUG_ONLY</x:v>
      </x:c>
      <x:c r="AK5" s="20" t="str">
        <x:v>BLOCKED</x:v>
      </x:c>
    </x:row>
    <x:row r="6">
      <x:c r="A6" s="21" t="str">
        <x:v>site-4bbdf07d8d66</x:v>
      </x:c>
      <x:c r="B6" s="21" t="str">
        <x:v>swq-lqtnyn-4bbdf0</x:v>
      </x:c>
      <x:c r="C6" s="21" t="str">
        <x:v>سوق القطانين</x:v>
      </x:c>
      <x:c r="D6" s="21" t="str"/>
      <x:c r="E6" s="21" t="str">
        <x:v>القدس</x:v>
      </x:c>
      <x:c r="F6" s="21" t="str">
        <x:v>القدس القديمة</x:v>
      </x:c>
      <x:c r="G6" s="21" t="str">
        <x:v>سوق</x:v>
      </x:c>
      <x:c r="H6" s="21" t="str">
        <x:v>canonical_identity_preserved_no_identity_decision</x:v>
      </x:c>
      <x:c r="I6" s="21" t="str"/>
      <x:c r="J6" s="21" t="str">
        <x:v>GOVERNED_DRAFT_PAGE</x:v>
      </x:c>
      <x:c r="K6" s="21" t="str">
        <x:v>IMPLEMENTED_PENDING_LOCAL_UAT</x:v>
      </x:c>
      <x:c r="L6" s="21" t="n">
        <x:v>1</x:v>
      </x:c>
      <x:c r="M6" s="21" t="n">
        <x:v>1</x:v>
      </x:c>
      <x:c r="N6" s="21" t="str">
        <x:v>W2-AUTH-ARCHNET-QATTANIN-001</x:v>
      </x:c>
      <x:c r="O6" s="21" t="str"/>
      <x:c r="P6" s="21" t="n">
        <x:v>1</x:v>
      </x:c>
      <x:c r="Q6" s="21" t="n">
        <x:v>0</x:v>
      </x:c>
      <x:c r="R6" s="21" t="n">
        <x:v>0</x:v>
      </x:c>
      <x:c r="S6" s="21" t="n">
        <x:v>0</x:v>
      </x:c>
      <x:c r="T6" s="21" t="n">
        <x:v>1</x:v>
      </x:c>
      <x:c r="U6" s="21" t="n">
        <x:v>0</x:v>
      </x:c>
      <x:c r="V6" s="21" t="str"/>
      <x:c r="W6" s="21" t="str"/>
      <x:c r="X6" s="21" t="str"/>
      <x:c r="Y6" s="21" t="str">
        <x:v>needs_geospatial_verification</x:v>
      </x:c>
      <x:c r="Z6" s="21" t="str">
        <x:v>BLOCKED</x:v>
      </x:c>
      <x:c r="AA6" s="21" t="n">
        <x:v>0</x:v>
      </x:c>
      <x:c r="AB6" s="21" t="str">
        <x:v>NO_APPROVED_MEDIA_ASSET</x:v>
      </x:c>
      <x:c r="AC6" s="21" t="str">
        <x:v>R9_0_0_UI_BUILT_PENDING_LOCAL_UAT</x:v>
      </x:c>
      <x:c r="AD6" s="21" t="str">
        <x:v>2026-08-02</x:v>
      </x:c>
      <x:c r="AE6" s="21" t="str">
        <x:v>BLOCKED</x:v>
      </x:c>
      <x:c r="AF6" s="21" t="str">
        <x:v>BLOCKED</x:v>
      </x:c>
      <x:c r="AG6" s="20" t="str">
        <x:v>expandedNarrative</x:v>
      </x:c>
      <x:c r="AH6" s="20" t="n">
        <x:v>4</x:v>
      </x:c>
      <x:c r="AI6" s="20" t="n">
        <x:v>1</x:v>
      </x:c>
      <x:c r="AJ6" s="20" t="str">
        <x:v>DEBUG_ONLY</x:v>
      </x:c>
      <x:c r="AK6" s="20" t="str">
        <x:v>BLOCKED</x:v>
      </x:c>
    </x:row>
    <x:row r="7">
      <x:c r="A7" s="21" t="str">
        <x:v>site-8d297f3c37a9</x:v>
      </x:c>
      <x:c r="B7" s="21" t="str">
        <x:v>qbr-lsyd-mrym-mgr-ljsmny-8d297f</x:v>
      </x:c>
      <x:c r="C7" s="21" t="str">
        <x:v>قبر السيدة مريم (مغارة الجسمانية)</x:v>
      </x:c>
      <x:c r="D7" s="21" t="str"/>
      <x:c r="E7" s="21" t="str">
        <x:v>القدس</x:v>
      </x:c>
      <x:c r="F7" s="21" t="str">
        <x:v>القدس القديمة</x:v>
      </x:c>
      <x:c r="G7" s="21" t="str">
        <x:v>كنيسة</x:v>
      </x:c>
      <x:c r="H7" s="21" t="str">
        <x:v>canonical_identity_preserved_no_identity_decision</x:v>
      </x:c>
      <x:c r="I7" s="21" t="str"/>
      <x:c r="J7" s="21" t="str">
        <x:v>GOVERNED_DRAFT_PAGE</x:v>
      </x:c>
      <x:c r="K7" s="21" t="str">
        <x:v>IMPLEMENTED_PENDING_LOCAL_UAT</x:v>
      </x:c>
      <x:c r="L7" s="21" t="n">
        <x:v>2</x:v>
      </x:c>
      <x:c r="M7" s="21" t="n">
        <x:v>2</x:v>
      </x:c>
      <x:c r="N7" s="21" t="str">
        <x:v>W2-AUTH-JERUSALEM-PATRIARCHATE-GETHSEMANE-001; W2-AUTH-SBF-JERUSALEM-EXCAVATIONS-001</x:v>
      </x:c>
      <x:c r="O7" s="21" t="str"/>
      <x:c r="P7" s="21" t="n">
        <x:v>2</x:v>
      </x:c>
      <x:c r="Q7" s="21" t="n">
        <x:v>0</x:v>
      </x:c>
      <x:c r="R7" s="21" t="n">
        <x:v>0</x:v>
      </x:c>
      <x:c r="S7" s="21" t="n">
        <x:v>0</x:v>
      </x:c>
      <x:c r="T7" s="21" t="n">
        <x:v>2</x:v>
      </x:c>
      <x:c r="U7" s="21" t="n">
        <x:v>0</x:v>
      </x:c>
      <x:c r="V7" s="21" t="str"/>
      <x:c r="W7" s="21" t="str"/>
      <x:c r="X7" s="21" t="str"/>
      <x:c r="Y7" s="21" t="str">
        <x:v>needs_geospatial_verification</x:v>
      </x:c>
      <x:c r="Z7" s="21" t="str">
        <x:v>BLOCKED</x:v>
      </x:c>
      <x:c r="AA7" s="21" t="n">
        <x:v>0</x:v>
      </x:c>
      <x:c r="AB7" s="21" t="str">
        <x:v>NO_APPROVED_MEDIA_ASSET</x:v>
      </x:c>
      <x:c r="AC7" s="21" t="str">
        <x:v>R9_0_0_UI_BUILT_PENDING_LOCAL_UAT</x:v>
      </x:c>
      <x:c r="AD7" s="21" t="str">
        <x:v>2026-08-02</x:v>
      </x:c>
      <x:c r="AE7" s="21" t="str">
        <x:v>BLOCKED</x:v>
      </x:c>
      <x:c r="AF7" s="21" t="str">
        <x:v>BLOCKED</x:v>
      </x:c>
      <x:c r="AG7" s="20" t="str">
        <x:v>expandedNarrative</x:v>
      </x:c>
      <x:c r="AH7" s="20" t="n">
        <x:v>5</x:v>
      </x:c>
      <x:c r="AI7" s="20" t="n">
        <x:v>1</x:v>
      </x:c>
      <x:c r="AJ7" s="20" t="str">
        <x:v>DEBUG_ONLY</x:v>
      </x:c>
      <x:c r="AK7" s="20" t="str">
        <x:v>BLOCKED</x:v>
      </x:c>
    </x:row>
    <x:row r="8">
      <x:c r="A8" s="21" t="str">
        <x:v>site-f7553f79288f</x:v>
      </x:c>
      <x:c r="B8" s="21" t="str">
        <x:v>qswr-lmmlyk-shr-lwd-f7553f</x:v>
      </x:c>
      <x:c r="C8" s="21" t="str">
        <x:v>قصور المماليك (شارع الواد)</x:v>
      </x:c>
      <x:c r="D8" s="21" t="str"/>
      <x:c r="E8" s="21" t="str">
        <x:v>القدس</x:v>
      </x:c>
      <x:c r="F8" s="21" t="str">
        <x:v>القدس القديمة</x:v>
      </x:c>
      <x:c r="G8" s="21" t="str">
        <x:v>عنقود معماري</x:v>
      </x:c>
      <x:c r="H8" s="21" t="str">
        <x:v>reclassified_to_governed_cluster</x:v>
      </x:c>
      <x:c r="I8" s="21" t="str"/>
      <x:c r="J8" s="21" t="str">
        <x:v>GOVERNED_DRAFT_PAGE</x:v>
      </x:c>
      <x:c r="K8" s="21" t="str">
        <x:v>IMPLEMENTED_PENDING_LOCAL_UAT</x:v>
      </x:c>
      <x:c r="L8" s="21" t="n">
        <x:v>1</x:v>
      </x:c>
      <x:c r="M8" s="21" t="n">
        <x:v>2</x:v>
      </x:c>
      <x:c r="N8" s="21" t="str">
        <x:v>W2-AUTH-ARCHNET-QATTANIN-001; W2-AUTH-UNESCO-JERUSALEM-MONITOR-2015</x:v>
      </x:c>
      <x:c r="O8" s="21" t="str">
        <x:v>P0-SRC-UNESCO-JERUSALEM-SOC-2026</x:v>
      </x:c>
      <x:c r="P8" s="21" t="n">
        <x:v>2</x:v>
      </x:c>
      <x:c r="Q8" s="21" t="n">
        <x:v>1</x:v>
      </x:c>
      <x:c r="R8" s="21" t="n">
        <x:v>0</x:v>
      </x:c>
      <x:c r="S8" s="21" t="n">
        <x:v>1</x:v>
      </x:c>
      <x:c r="T8" s="21" t="n">
        <x:v>0</x:v>
      </x:c>
      <x:c r="U8" s="21" t="n">
        <x:v>1</x:v>
      </x:c>
      <x:c r="V8" s="21" t="str">
        <x:v>P0_IDENTITY_GIS_INVENTORY_REQUIRED:site-f7553f79288f-W2-H02</x:v>
      </x:c>
      <x:c r="W8" s="21" t="str"/>
      <x:c r="X8" s="21" t="str"/>
      <x:c r="Y8" s="21" t="str">
        <x:v>needs_geospatial_verification</x:v>
      </x:c>
      <x:c r="Z8" s="21" t="str">
        <x:v>BLOCKED</x:v>
      </x:c>
      <x:c r="AA8" s="21" t="n">
        <x:v>0</x:v>
      </x:c>
      <x:c r="AB8" s="21" t="str">
        <x:v>NO_APPROVED_MEDIA_ASSET</x:v>
      </x:c>
      <x:c r="AC8" s="21" t="str">
        <x:v>R9_0_0_UI_BUILT_PENDING_LOCAL_UAT</x:v>
      </x:c>
      <x:c r="AD8" s="21" t="str">
        <x:v>2026-08-02</x:v>
      </x:c>
      <x:c r="AE8" s="21" t="str">
        <x:v>BLOCKED</x:v>
      </x:c>
      <x:c r="AF8" s="21" t="str">
        <x:v>BLOCKED</x:v>
      </x:c>
      <x:c r="AG8" s="20" t="str">
        <x:v>expandedNarrative</x:v>
      </x:c>
      <x:c r="AH8" s="20" t="n">
        <x:v>4</x:v>
      </x:c>
      <x:c r="AI8" s="20" t="n">
        <x:v>1</x:v>
      </x:c>
      <x:c r="AJ8" s="20" t="str">
        <x:v>DEBUG_ONLY</x:v>
      </x:c>
      <x:c r="AK8" s="20" t="str">
        <x:v>BLOCKED</x:v>
      </x:c>
    </x:row>
    <x:row r="9">
      <x:c r="A9" s="21" t="str">
        <x:v>site-83d3025c4675</x:v>
      </x:c>
      <x:c r="B9" s="21" t="str">
        <x:v>ql-lqds-brj-dwd-83d302</x:v>
      </x:c>
      <x:c r="C9" s="21" t="str">
        <x:v>قلعة القدس (برج داود)</x:v>
      </x:c>
      <x:c r="D9" s="21" t="str">
        <x:v>Jerusalem Citadel</x:v>
      </x:c>
      <x:c r="E9" s="21" t="str">
        <x:v>القدس</x:v>
      </x:c>
      <x:c r="F9" s="21" t="str">
        <x:v>القدس القديمة</x:v>
      </x:c>
      <x:c r="G9" s="21" t="str">
        <x:v>حصن/قلعة</x:v>
      </x:c>
      <x:c r="H9" s="21" t="str">
        <x:v>canonical_identity_preserved_no_identity_decision</x:v>
      </x:c>
      <x:c r="I9" s="21" t="str"/>
      <x:c r="J9" s="21" t="str">
        <x:v>GOVERNED_DRAFT_PAGE</x:v>
      </x:c>
      <x:c r="K9" s="21" t="str">
        <x:v>IMPLEMENTED_PENDING_LOCAL_UAT</x:v>
      </x:c>
      <x:c r="L9" s="21" t="n">
        <x:v>1</x:v>
      </x:c>
      <x:c r="M9" s="21" t="n">
        <x:v>1</x:v>
      </x:c>
      <x:c r="N9" s="21" t="str">
        <x:v>W2-AUTH-ARCHNET-CITADEL-001</x:v>
      </x:c>
      <x:c r="O9" s="21" t="str"/>
      <x:c r="P9" s="21" t="n">
        <x:v>1</x:v>
      </x:c>
      <x:c r="Q9" s="21" t="n">
        <x:v>0</x:v>
      </x:c>
      <x:c r="R9" s="21" t="n">
        <x:v>0</x:v>
      </x:c>
      <x:c r="S9" s="21" t="n">
        <x:v>1</x:v>
      </x:c>
      <x:c r="T9" s="21" t="n">
        <x:v>0</x:v>
      </x:c>
      <x:c r="U9" s="21" t="n">
        <x:v>0</x:v>
      </x:c>
      <x:c r="V9" s="21" t="str"/>
      <x:c r="W9" s="21" t="str"/>
      <x:c r="X9" s="21" t="str"/>
      <x:c r="Y9" s="21" t="str">
        <x:v>needs_geospatial_verification</x:v>
      </x:c>
      <x:c r="Z9" s="21" t="str">
        <x:v>BLOCKED</x:v>
      </x:c>
      <x:c r="AA9" s="21" t="n">
        <x:v>0</x:v>
      </x:c>
      <x:c r="AB9" s="21" t="str">
        <x:v>NO_APPROVED_MEDIA_ASSET</x:v>
      </x:c>
      <x:c r="AC9" s="21" t="str">
        <x:v>R9_0_0_UI_BUILT_PENDING_LOCAL_UAT</x:v>
      </x:c>
      <x:c r="AD9" s="21" t="str">
        <x:v>2026-08-02</x:v>
      </x:c>
      <x:c r="AE9" s="21" t="str">
        <x:v>BLOCKED</x:v>
      </x:c>
      <x:c r="AF9" s="21" t="str">
        <x:v>BLOCKED</x:v>
      </x:c>
      <x:c r="AG9" s="20" t="str">
        <x:v>expandedNarrative</x:v>
      </x:c>
      <x:c r="AH9" s="20" t="n">
        <x:v>8</x:v>
      </x:c>
      <x:c r="AI9" s="20" t="n">
        <x:v>1</x:v>
      </x:c>
      <x:c r="AJ9" s="20" t="str">
        <x:v>DEBUG_ONLY</x:v>
      </x:c>
      <x:c r="AK9" s="20" t="str">
        <x:v>BLOCKED</x:v>
      </x:c>
    </x:row>
    <x:row r="10">
      <x:c r="A10" s="21" t="str">
        <x:v>site-431ed266867b</x:v>
      </x:c>
      <x:c r="B10" s="21" t="str">
        <x:v>knys-lqym-431ed2</x:v>
      </x:c>
      <x:c r="C10" s="21" t="str">
        <x:v>كنيسة القيامة</x:v>
      </x:c>
      <x:c r="D10" s="21" t="str">
        <x:v>Church of the Holy Sepulchre</x:v>
      </x:c>
      <x:c r="E10" s="21" t="str">
        <x:v>القدس</x:v>
      </x:c>
      <x:c r="F10" s="21" t="str">
        <x:v>القدس القديمة</x:v>
      </x:c>
      <x:c r="G10" s="21" t="str">
        <x:v>كنيسة</x:v>
      </x:c>
      <x:c r="H10" s="21" t="str">
        <x:v>canonical_identity_preserved_no_identity_decision</x:v>
      </x:c>
      <x:c r="I10" s="21" t="str"/>
      <x:c r="J10" s="21" t="str">
        <x:v>GOVERNED_DRAFT_PAGE</x:v>
      </x:c>
      <x:c r="K10" s="21" t="str">
        <x:v>IMPLEMENTED_PENDING_LOCAL_UAT</x:v>
      </x:c>
      <x:c r="L10" s="21" t="n">
        <x:v>2</x:v>
      </x:c>
      <x:c r="M10" s="21" t="n">
        <x:v>2</x:v>
      </x:c>
      <x:c r="N10" s="21" t="str">
        <x:v>W2-AUTH-SBF-JERUSALEM-EXCAVATIONS-001; W2-AUTH-UNESCO-JERUSALEM-001</x:v>
      </x:c>
      <x:c r="O10" s="21" t="str"/>
      <x:c r="P10" s="21" t="n">
        <x:v>2</x:v>
      </x:c>
      <x:c r="Q10" s="21" t="n">
        <x:v>0</x:v>
      </x:c>
      <x:c r="R10" s="21" t="n">
        <x:v>1</x:v>
      </x:c>
      <x:c r="S10" s="21" t="n">
        <x:v>0</x:v>
      </x:c>
      <x:c r="T10" s="21" t="n">
        <x:v>1</x:v>
      </x:c>
      <x:c r="U10" s="21" t="n">
        <x:v>0</x:v>
      </x:c>
      <x:c r="V10" s="21" t="str"/>
      <x:c r="W10" s="21" t="str"/>
      <x:c r="X10" s="21" t="str"/>
      <x:c r="Y10" s="21" t="str">
        <x:v>needs_geospatial_verification</x:v>
      </x:c>
      <x:c r="Z10" s="21" t="str">
        <x:v>BLOCKED</x:v>
      </x:c>
      <x:c r="AA10" s="21" t="n">
        <x:v>0</x:v>
      </x:c>
      <x:c r="AB10" s="21" t="str">
        <x:v>NO_APPROVED_MEDIA_ASSET</x:v>
      </x:c>
      <x:c r="AC10" s="21" t="str">
        <x:v>R9_0_0_UI_BUILT_PENDING_LOCAL_UAT</x:v>
      </x:c>
      <x:c r="AD10" s="21" t="str">
        <x:v>2026-08-02</x:v>
      </x:c>
      <x:c r="AE10" s="21" t="str">
        <x:v>BLOCKED</x:v>
      </x:c>
      <x:c r="AF10" s="21" t="str">
        <x:v>BLOCKED</x:v>
      </x:c>
      <x:c r="AG10" s="20" t="str">
        <x:v>expandedNarrative</x:v>
      </x:c>
      <x:c r="AH10" s="20" t="n">
        <x:v>7</x:v>
      </x:c>
      <x:c r="AI10" s="20" t="n">
        <x:v>1</x:v>
      </x:c>
      <x:c r="AJ10" s="20" t="str">
        <x:v>DEBUG_ONLY</x:v>
      </x:c>
      <x:c r="AK10" s="20" t="str">
        <x:v>BLOCKED</x:v>
      </x:c>
    </x:row>
    <x:row r="11">
      <x:c r="A11" s="21" t="str">
        <x:v>site-3a3d3669f0ba</x:v>
      </x:c>
      <x:c r="B11" s="21" t="str">
        <x:v>mqm-lnby-dwwd-jbl-shywn-3a3d36</x:v>
      </x:c>
      <x:c r="C11" s="21" t="str">
        <x:v>مقام النبي داوود (جبل صهيون)</x:v>
      </x:c>
      <x:c r="D11" s="21" t="str"/>
      <x:c r="E11" s="21" t="str">
        <x:v>القدس</x:v>
      </x:c>
      <x:c r="F11" s="21" t="str">
        <x:v>القدس القديمة</x:v>
      </x:c>
      <x:c r="G11" s="21" t="str">
        <x:v>مقام/مقام إسلامي</x:v>
      </x:c>
      <x:c r="H11" s="21" t="str">
        <x:v>canonical_identity_preserved_no_identity_decision</x:v>
      </x:c>
      <x:c r="I11" s="21" t="str"/>
      <x:c r="J11" s="21" t="str">
        <x:v>GOVERNED_DRAFT_PAGE</x:v>
      </x:c>
      <x:c r="K11" s="21" t="str">
        <x:v>IMPLEMENTED_PENDING_LOCAL_UAT</x:v>
      </x:c>
      <x:c r="L11" s="21" t="n">
        <x:v>2</x:v>
      </x:c>
      <x:c r="M11" s="21" t="n">
        <x:v>2</x:v>
      </x:c>
      <x:c r="N11" s="21" t="str">
        <x:v>W2-AUTH-UNESCO-JERUSALEM-EXTENSION-001; W2-AUTH-UNESCO-JERUSALEM-MONITOR-2015</x:v>
      </x:c>
      <x:c r="O11" s="21" t="str">
        <x:v>P0-SRC-UNESCO-JERUSALEM-SOC-2026</x:v>
      </x:c>
      <x:c r="P11" s="21" t="n">
        <x:v>3</x:v>
      </x:c>
      <x:c r="Q11" s="21" t="n">
        <x:v>1</x:v>
      </x:c>
      <x:c r="R11" s="21" t="n">
        <x:v>0</x:v>
      </x:c>
      <x:c r="S11" s="21" t="n">
        <x:v>0</x:v>
      </x:c>
      <x:c r="T11" s="21" t="n">
        <x:v>2</x:v>
      </x:c>
      <x:c r="U11" s="21" t="n">
        <x:v>1</x:v>
      </x:c>
      <x:c r="V11" s="21" t="str">
        <x:v>P0_LEGAL_SPECIALIST_REVIEW_REQUIRED:site-3a3d3669f0ba-W2-H03</x:v>
      </x:c>
      <x:c r="W11" s="21" t="str"/>
      <x:c r="X11" s="21" t="str"/>
      <x:c r="Y11" s="21" t="str">
        <x:v>needs_geospatial_verification</x:v>
      </x:c>
      <x:c r="Z11" s="21" t="str">
        <x:v>BLOCKED</x:v>
      </x:c>
      <x:c r="AA11" s="21" t="n">
        <x:v>0</x:v>
      </x:c>
      <x:c r="AB11" s="21" t="str">
        <x:v>NO_APPROVED_MEDIA_ASSET</x:v>
      </x:c>
      <x:c r="AC11" s="21" t="str">
        <x:v>R9_0_0_UI_BUILT_PENDING_LOCAL_UAT</x:v>
      </x:c>
      <x:c r="AD11" s="21" t="str">
        <x:v>2026-08-02</x:v>
      </x:c>
      <x:c r="AE11" s="21" t="str">
        <x:v>BLOCKED</x:v>
      </x:c>
      <x:c r="AF11" s="21" t="str">
        <x:v>BLOCKED</x:v>
      </x:c>
      <x:c r="AG11" s="20" t="str">
        <x:v>expandedNarrative</x:v>
      </x:c>
      <x:c r="AH11" s="20" t="n">
        <x:v>5</x:v>
      </x:c>
      <x:c r="AI11" s="20" t="n">
        <x:v>1</x:v>
      </x:c>
      <x:c r="AJ11" s="20" t="str">
        <x:v>DEBUG_ONLY</x:v>
      </x:c>
      <x:c r="AK11" s="20" t="str">
        <x:v>BLOCKED</x:v>
      </x:c>
    </x:row>
    <x:row r="12">
      <x:c r="A12" s="21" t="str">
        <x:v>site-899e38be070d</x:v>
      </x:c>
      <x:c r="B12" s="21" t="str">
        <x:v>lhrm-lbrhymy-899e38</x:v>
      </x:c>
      <x:c r="C12" s="21" t="str">
        <x:v>الحرم الإبراهيمي</x:v>
      </x:c>
      <x:c r="D12" s="21" t="str">
        <x:v>Ibrahimi Mosque</x:v>
      </x:c>
      <x:c r="E12" s="21" t="str">
        <x:v>الخليل</x:v>
      </x:c>
      <x:c r="F12" s="21" t="str">
        <x:v>الخليل</x:v>
      </x:c>
      <x:c r="G12" s="21" t="str">
        <x:v>مسجد/حرم</x:v>
      </x:c>
      <x:c r="H12" s="21" t="str">
        <x:v>canonical_identity_preserved_no_identity_decision</x:v>
      </x:c>
      <x:c r="I12" s="21" t="str"/>
      <x:c r="J12" s="21" t="str">
        <x:v>GOVERNED_DRAFT_PAGE</x:v>
      </x:c>
      <x:c r="K12" s="21" t="str">
        <x:v>IMPLEMENTED_PENDING_LOCAL_UAT</x:v>
      </x:c>
      <x:c r="L12" s="21" t="n">
        <x:v>2</x:v>
      </x:c>
      <x:c r="M12" s="21" t="n">
        <x:v>1</x:v>
      </x:c>
      <x:c r="N12" s="21" t="str">
        <x:v>AUTH-UNESCO-HEBRON-001</x:v>
      </x:c>
      <x:c r="O12" s="21" t="str"/>
      <x:c r="P12" s="21" t="n">
        <x:v>1</x:v>
      </x:c>
      <x:c r="Q12" s="21" t="n">
        <x:v>0</x:v>
      </x:c>
      <x:c r="R12" s="21" t="n">
        <x:v>1</x:v>
      </x:c>
      <x:c r="S12" s="21" t="n">
        <x:v>0</x:v>
      </x:c>
      <x:c r="T12" s="21" t="n">
        <x:v>0</x:v>
      </x:c>
      <x:c r="U12" s="21" t="n">
        <x:v>0</x:v>
      </x:c>
      <x:c r="V12" s="21" t="str"/>
      <x:c r="W12" s="21" t="str"/>
      <x:c r="X12" s="21" t="str">
        <x:v>site-0dc57168d963</x:v>
      </x:c>
      <x:c r="Y12" s="21" t="str">
        <x:v>needs_geospatial_verification</x:v>
      </x:c>
      <x:c r="Z12" s="21" t="str">
        <x:v>BLOCKED</x:v>
      </x:c>
      <x:c r="AA12" s="21" t="n">
        <x:v>0</x:v>
      </x:c>
      <x:c r="AB12" s="21" t="str">
        <x:v>NO_APPROVED_MEDIA_ASSET</x:v>
      </x:c>
      <x:c r="AC12" s="21" t="str">
        <x:v>R9_0_0_UI_BUILT_PENDING_LOCAL_UAT</x:v>
      </x:c>
      <x:c r="AD12" s="21" t="str">
        <x:v>2026-08-02</x:v>
      </x:c>
      <x:c r="AE12" s="21" t="str">
        <x:v>BLOCKED</x:v>
      </x:c>
      <x:c r="AF12" s="21" t="str">
        <x:v>BLOCKED</x:v>
      </x:c>
      <x:c r="AG12" s="20" t="str">
        <x:v>expandedNarrative</x:v>
      </x:c>
      <x:c r="AH12" s="20" t="n">
        <x:v>5</x:v>
      </x:c>
      <x:c r="AI12" s="20" t="n">
        <x:v>1</x:v>
      </x:c>
      <x:c r="AJ12" s="20" t="str">
        <x:v>DEBUG_ONLY</x:v>
      </x:c>
      <x:c r="AK12" s="20" t="str">
        <x:v>BLOCKED</x:v>
      </x:c>
    </x:row>
    <x:row r="13">
      <x:c r="A13" s="21" t="str">
        <x:v>site-6b6c5a396756</x:v>
      </x:c>
      <x:c r="B13" s="21" t="str">
        <x:v>bld-lkhlyl-lqdym-6b6c5a</x:v>
      </x:c>
      <x:c r="C13" s="21" t="str">
        <x:v>بلدة الخليل القديمة</x:v>
      </x:c>
      <x:c r="D13" s="21" t="str"/>
      <x:c r="E13" s="21" t="str">
        <x:v>الخليل</x:v>
      </x:c>
      <x:c r="F13" s="21" t="str">
        <x:v>الخليل</x:v>
      </x:c>
      <x:c r="G13" s="21" t="str">
        <x:v>بلدة قديمة</x:v>
      </x:c>
      <x:c r="H13" s="21" t="str">
        <x:v>canonical_identity_preserved_no_identity_decision</x:v>
      </x:c>
      <x:c r="I13" s="21" t="str"/>
      <x:c r="J13" s="21" t="str">
        <x:v>GOVERNED_DRAFT_PAGE</x:v>
      </x:c>
      <x:c r="K13" s="21" t="str">
        <x:v>IMPLEMENTED_PENDING_LOCAL_UAT</x:v>
      </x:c>
      <x:c r="L13" s="21" t="n">
        <x:v>3</x:v>
      </x:c>
      <x:c r="M13" s="21" t="n">
        <x:v>1</x:v>
      </x:c>
      <x:c r="N13" s="21" t="str">
        <x:v>AUTH-UNESCO-HEBRON-001</x:v>
      </x:c>
      <x:c r="O13" s="21" t="str"/>
      <x:c r="P13" s="21" t="n">
        <x:v>0</x:v>
      </x:c>
      <x:c r="Q13" s="21" t="n">
        <x:v>0</x:v>
      </x:c>
      <x:c r="R13" s="21" t="n">
        <x:v>0</x:v>
      </x:c>
      <x:c r="S13" s="21" t="n">
        <x:v>0</x:v>
      </x:c>
      <x:c r="T13" s="21" t="n">
        <x:v>0</x:v>
      </x:c>
      <x:c r="U13" s="21" t="n">
        <x:v>0</x:v>
      </x:c>
      <x:c r="V13" s="21" t="str"/>
      <x:c r="W13" s="21" t="str"/>
      <x:c r="X13" s="21" t="str"/>
      <x:c r="Y13" s="21" t="str">
        <x:v>needs_geospatial_verification</x:v>
      </x:c>
      <x:c r="Z13" s="21" t="str">
        <x:v>BLOCKED</x:v>
      </x:c>
      <x:c r="AA13" s="21" t="n">
        <x:v>0</x:v>
      </x:c>
      <x:c r="AB13" s="21" t="str">
        <x:v>NO_APPROVED_MEDIA_ASSET</x:v>
      </x:c>
      <x:c r="AC13" s="21" t="str">
        <x:v>R9_0_0_UI_BUILT_PENDING_LOCAL_UAT</x:v>
      </x:c>
      <x:c r="AD13" s="21" t="str">
        <x:v>2026-08-02</x:v>
      </x:c>
      <x:c r="AE13" s="21" t="str">
        <x:v>BLOCKED</x:v>
      </x:c>
      <x:c r="AF13" s="21" t="str">
        <x:v>BLOCKED</x:v>
      </x:c>
      <x:c r="AG13" s="20" t="str">
        <x:v>expandedNarrative</x:v>
      </x:c>
      <x:c r="AH13" s="20" t="n">
        <x:v>4</x:v>
      </x:c>
      <x:c r="AI13" s="20" t="n">
        <x:v>1</x:v>
      </x:c>
      <x:c r="AJ13" s="20" t="str">
        <x:v>DEBUG_ONLY</x:v>
      </x:c>
      <x:c r="AK13" s="20" t="str">
        <x:v>BLOCKED</x:v>
      </x:c>
    </x:row>
    <x:row r="14">
      <x:c r="A14" s="21" t="str">
        <x:v>site-f60be7cd7d5e</x:v>
      </x:c>
      <x:c r="B14" s="21" t="str">
        <x:v>byt-mr-khrb-lnby-mt-f60be7</x:v>
      </x:c>
      <x:c r="C14" s="21" t="str">
        <x:v>بيت أمر</x:v>
      </x:c>
      <x:c r="D14" s="21" t="str"/>
      <x:c r="E14" s="21" t="str">
        <x:v>الخليل</x:v>
      </x:c>
      <x:c r="F14" s="21" t="str">
        <x:v>بيت أمر</x:v>
      </x:c>
      <x:c r="G14" s="21" t="str">
        <x:v>بلدة تاريخية/خربة</x:v>
      </x:c>
      <x:c r="H14" s="21" t="str">
        <x:v>split_required_parent_retained</x:v>
      </x:c>
      <x:c r="I14" s="21" t="str"/>
      <x:c r="J14" s="21" t="str">
        <x:v>LIMITED_RESEARCH_PAGE</x:v>
      </x:c>
      <x:c r="K14" s="21" t="str">
        <x:v>IMPLEMENTED_PENDING_LOCAL_UAT</x:v>
      </x:c>
      <x:c r="L14" s="21" t="n">
        <x:v>0</x:v>
      </x:c>
      <x:c r="M14" s="21" t="n">
        <x:v>0</x:v>
      </x:c>
      <x:c r="N14" s="21" t="str"/>
      <x:c r="O14" s="21" t="str"/>
      <x:c r="P14" s="21" t="n">
        <x:v>3</x:v>
      </x:c>
      <x:c r="Q14" s="21" t="n">
        <x:v>0</x:v>
      </x:c>
      <x:c r="R14" s="21" t="n">
        <x:v>1</x:v>
      </x:c>
      <x:c r="S14" s="21" t="n">
        <x:v>2</x:v>
      </x:c>
      <x:c r="T14" s="21" t="n">
        <x:v>0</x:v>
      </x:c>
      <x:c r="U14" s="21" t="n">
        <x:v>0</x:v>
      </x:c>
      <x:c r="V14" s="21" t="str"/>
      <x:c r="W14" s="21" t="str"/>
      <x:c r="X14" s="21" t="str"/>
      <x:c r="Y14" s="21" t="str">
        <x:v>needs_geospatial_verification</x:v>
      </x:c>
      <x:c r="Z14" s="21" t="str">
        <x:v>BLOCKED</x:v>
      </x:c>
      <x:c r="AA14" s="21" t="n">
        <x:v>0</x:v>
      </x:c>
      <x:c r="AB14" s="21" t="str">
        <x:v>NO_APPROVED_MEDIA_ASSET</x:v>
      </x:c>
      <x:c r="AC14" s="21" t="str">
        <x:v>R9_0_0_UI_BUILT_PENDING_LOCAL_UAT</x:v>
      </x:c>
      <x:c r="AD14" s="21" t="str">
        <x:v>2026-08-02</x:v>
      </x:c>
      <x:c r="AE14" s="21" t="str">
        <x:v>BLOCKED</x:v>
      </x:c>
      <x:c r="AF14" s="21" t="str">
        <x:v>BLOCKED</x:v>
      </x:c>
      <x:c r="AG14" s="20" t="str">
        <x:v>expandedNarrative</x:v>
      </x:c>
      <x:c r="AH14" s="20" t="n">
        <x:v>2</x:v>
      </x:c>
      <x:c r="AI14" s="20" t="n">
        <x:v>1</x:v>
      </x:c>
      <x:c r="AJ14" s="20" t="str">
        <x:v>DEBUG_ONLY</x:v>
      </x:c>
      <x:c r="AK14" s="20" t="str">
        <x:v>BLOCKED</x:v>
      </x:c>
    </x:row>
    <x:row r="15">
      <x:c r="A15" s="21" t="str">
        <x:v>site-63c0ba59c24e</x:v>
      </x:c>
      <x:c r="B15" s="21" t="str">
        <x:v>tl-lrmyd-63c0ba</x:v>
      </x:c>
      <x:c r="C15" s="21" t="str">
        <x:v>تل الرميدة</x:v>
      </x:c>
      <x:c r="D15" s="21" t="str"/>
      <x:c r="E15" s="21" t="str">
        <x:v>الخليل</x:v>
      </x:c>
      <x:c r="F15" s="21" t="str">
        <x:v>الخليل</x:v>
      </x:c>
      <x:c r="G15" s="21" t="str">
        <x:v>تل أثري</x:v>
      </x:c>
      <x:c r="H15" s="21" t="str">
        <x:v>canonical_identity_preserved_no_identity_decision</x:v>
      </x:c>
      <x:c r="I15" s="21" t="str"/>
      <x:c r="J15" s="21" t="str">
        <x:v>GOVERNED_DRAFT_PAGE</x:v>
      </x:c>
      <x:c r="K15" s="21" t="str">
        <x:v>IMPLEMENTED_PENDING_LOCAL_UAT</x:v>
      </x:c>
      <x:c r="L15" s="21" t="n">
        <x:v>2</x:v>
      </x:c>
      <x:c r="M15" s="21" t="n">
        <x:v>2</x:v>
      </x:c>
      <x:c r="N15" s="21" t="str">
        <x:v>W2-AUTH-ICOMOS-HEBRON-2017; W2-AUTH-UNESCO-HEBRON-001</x:v>
      </x:c>
      <x:c r="O15" s="21" t="str">
        <x:v>P0-SRC-UNESCO-HEBRON-SOC-2026</x:v>
      </x:c>
      <x:c r="P15" s="21" t="n">
        <x:v>2</x:v>
      </x:c>
      <x:c r="Q15" s="21" t="n">
        <x:v>1</x:v>
      </x:c>
      <x:c r="R15" s="21" t="n">
        <x:v>0</x:v>
      </x:c>
      <x:c r="S15" s="21" t="n">
        <x:v>0</x:v>
      </x:c>
      <x:c r="T15" s="21" t="n">
        <x:v>1</x:v>
      </x:c>
      <x:c r="U15" s="21" t="n">
        <x:v>1</x:v>
      </x:c>
      <x:c r="V15" s="21" t="str">
        <x:v>P0_PARTIAL_DOCUMENTARY_CLOSURE:site-63c0ba59c24e-W2-H02</x:v>
      </x:c>
      <x:c r="W15" s="21" t="str"/>
      <x:c r="X15" s="21" t="str"/>
      <x:c r="Y15" s="21" t="str">
        <x:v>needs_geospatial_verification</x:v>
      </x:c>
      <x:c r="Z15" s="21" t="str">
        <x:v>BLOCKED</x:v>
      </x:c>
      <x:c r="AA15" s="21" t="n">
        <x:v>0</x:v>
      </x:c>
      <x:c r="AB15" s="21" t="str">
        <x:v>NO_APPROVED_MEDIA_ASSET</x:v>
      </x:c>
      <x:c r="AC15" s="21" t="str">
        <x:v>R9_0_0_UI_BUILT_PENDING_LOCAL_UAT</x:v>
      </x:c>
      <x:c r="AD15" s="21" t="str">
        <x:v>2026-08-02</x:v>
      </x:c>
      <x:c r="AE15" s="21" t="str">
        <x:v>BLOCKED</x:v>
      </x:c>
      <x:c r="AF15" s="21" t="str">
        <x:v>BLOCKED</x:v>
      </x:c>
      <x:c r="AG15" s="20" t="str">
        <x:v>expandedNarrative</x:v>
      </x:c>
      <x:c r="AH15" s="20" t="n">
        <x:v>4</x:v>
      </x:c>
      <x:c r="AI15" s="20" t="n">
        <x:v>1</x:v>
      </x:c>
      <x:c r="AJ15" s="20" t="str">
        <x:v>DEBUG_ONLY</x:v>
      </x:c>
      <x:c r="AK15" s="20" t="str">
        <x:v>BLOCKED</x:v>
      </x:c>
    </x:row>
    <x:row r="16">
      <x:c r="A16" s="21" t="str">
        <x:v>site-cd3be04163b6</x:v>
      </x:c>
      <x:c r="B16" s="21" t="str">
        <x:v>hlhwl-mqm-lnby-ywns-cd3be0</x:v>
      </x:c>
      <x:c r="C16" s="21" t="str">
        <x:v>حلحول (مقام النبي يونس)</x:v>
      </x:c>
      <x:c r="D16" s="21" t="str"/>
      <x:c r="E16" s="21" t="str">
        <x:v>الخليل</x:v>
      </x:c>
      <x:c r="F16" s="21" t="str">
        <x:v>حلحول</x:v>
      </x:c>
      <x:c r="G16" s="21" t="str">
        <x:v>بلدة تاريخية/مقام</x:v>
      </x:c>
      <x:c r="H16" s="21" t="str">
        <x:v>canonical_identity_preserved_no_identity_decision</x:v>
      </x:c>
      <x:c r="I16" s="21" t="str"/>
      <x:c r="J16" s="21" t="str">
        <x:v>GOVERNED_DRAFT_PAGE</x:v>
      </x:c>
      <x:c r="K16" s="21" t="str">
        <x:v>IMPLEMENTED_PENDING_LOCAL_UAT</x:v>
      </x:c>
      <x:c r="L16" s="21" t="n">
        <x:v>1</x:v>
      </x:c>
      <x:c r="M16" s="21" t="n">
        <x:v>1</x:v>
      </x:c>
      <x:c r="N16" s="21" t="str">
        <x:v>W2-AUTH-MWNF-NABI-YUNUS-001</x:v>
      </x:c>
      <x:c r="O16" s="21" t="str"/>
      <x:c r="P16" s="21" t="n">
        <x:v>2</x:v>
      </x:c>
      <x:c r="Q16" s="21" t="n">
        <x:v>0</x:v>
      </x:c>
      <x:c r="R16" s="21" t="n">
        <x:v>0</x:v>
      </x:c>
      <x:c r="S16" s="21" t="n">
        <x:v>0</x:v>
      </x:c>
      <x:c r="T16" s="21" t="n">
        <x:v>2</x:v>
      </x:c>
      <x:c r="U16" s="21" t="n">
        <x:v>0</x:v>
      </x:c>
      <x:c r="V16" s="21" t="str"/>
      <x:c r="W16" s="21" t="str"/>
      <x:c r="X16" s="21" t="str"/>
      <x:c r="Y16" s="21" t="str">
        <x:v>needs_geospatial_verification</x:v>
      </x:c>
      <x:c r="Z16" s="21" t="str">
        <x:v>BLOCKED</x:v>
      </x:c>
      <x:c r="AA16" s="21" t="n">
        <x:v>0</x:v>
      </x:c>
      <x:c r="AB16" s="21" t="str">
        <x:v>NO_APPROVED_MEDIA_ASSET</x:v>
      </x:c>
      <x:c r="AC16" s="21" t="str">
        <x:v>R9_0_0_UI_BUILT_PENDING_LOCAL_UAT</x:v>
      </x:c>
      <x:c r="AD16" s="21" t="str">
        <x:v>2026-08-02</x:v>
      </x:c>
      <x:c r="AE16" s="21" t="str">
        <x:v>BLOCKED</x:v>
      </x:c>
      <x:c r="AF16" s="21" t="str">
        <x:v>BLOCKED</x:v>
      </x:c>
      <x:c r="AG16" s="20" t="str">
        <x:v>expandedNarrative</x:v>
      </x:c>
      <x:c r="AH16" s="20" t="n">
        <x:v>2</x:v>
      </x:c>
      <x:c r="AI16" s="20" t="n">
        <x:v>1</x:v>
      </x:c>
      <x:c r="AJ16" s="20" t="str">
        <x:v>DEBUG_ONLY</x:v>
      </x:c>
      <x:c r="AK16" s="20" t="str">
        <x:v>BLOCKED</x:v>
      </x:c>
    </x:row>
    <x:row r="17">
      <x:c r="A17" s="21" t="str">
        <x:v>site-2310c1600481</x:v>
      </x:c>
      <x:c r="B17" s="21" t="str">
        <x:v>khn-lhtb-2310c1</x:v>
      </x:c>
      <x:c r="C17" s="21" t="str">
        <x:v>خان الحطب</x:v>
      </x:c>
      <x:c r="D17" s="21" t="str"/>
      <x:c r="E17" s="21" t="str">
        <x:v>الخليل</x:v>
      </x:c>
      <x:c r="F17" s="21" t="str">
        <x:v>الخليل</x:v>
      </x:c>
      <x:c r="G17" s="21" t="str">
        <x:v>خان</x:v>
      </x:c>
      <x:c r="H17" s="21" t="str">
        <x:v>unresolved_identity_hold</x:v>
      </x:c>
      <x:c r="I17" s="21" t="str">
        <x:v>blocked_pending_dedicated_source</x:v>
      </x:c>
      <x:c r="J17" s="21" t="str">
        <x:v>LIMITED_RESEARCH_PAGE</x:v>
      </x:c>
      <x:c r="K17" s="21" t="str">
        <x:v>IMPLEMENTED_PENDING_LOCAL_UAT</x:v>
      </x:c>
      <x:c r="L17" s="21" t="n">
        <x:v>0</x:v>
      </x:c>
      <x:c r="M17" s="21" t="n">
        <x:v>0</x:v>
      </x:c>
      <x:c r="N17" s="21" t="str"/>
      <x:c r="O17" s="21" t="str"/>
      <x:c r="P17" s="21" t="n">
        <x:v>3</x:v>
      </x:c>
      <x:c r="Q17" s="21" t="n">
        <x:v>1</x:v>
      </x:c>
      <x:c r="R17" s="21" t="n">
        <x:v>1</x:v>
      </x:c>
      <x:c r="S17" s="21" t="n">
        <x:v>1</x:v>
      </x:c>
      <x:c r="T17" s="21" t="n">
        <x:v>0</x:v>
      </x:c>
      <x:c r="U17" s="21" t="n">
        <x:v>1</x:v>
      </x:c>
      <x:c r="V17" s="21" t="str">
        <x:v>P0_SOURCE_GAP_REMAINS:site-2310c1600481-W2-H03</x:v>
      </x:c>
      <x:c r="W17" s="21" t="str"/>
      <x:c r="X17" s="21" t="str"/>
      <x:c r="Y17" s="21" t="str">
        <x:v>needs_geospatial_verification</x:v>
      </x:c>
      <x:c r="Z17" s="21" t="str">
        <x:v>BLOCKED</x:v>
      </x:c>
      <x:c r="AA17" s="21" t="n">
        <x:v>0</x:v>
      </x:c>
      <x:c r="AB17" s="21" t="str">
        <x:v>NO_APPROVED_MEDIA_ASSET</x:v>
      </x:c>
      <x:c r="AC17" s="21" t="str">
        <x:v>R9_0_0_UI_BUILT_PENDING_LOCAL_UAT</x:v>
      </x:c>
      <x:c r="AD17" s="21" t="str">
        <x:v>2026-08-02</x:v>
      </x:c>
      <x:c r="AE17" s="21" t="str">
        <x:v>BLOCKED</x:v>
      </x:c>
      <x:c r="AF17" s="21" t="str">
        <x:v>BLOCKED</x:v>
      </x:c>
      <x:c r="AG17" s="20" t="str">
        <x:v>catalogSummary</x:v>
      </x:c>
      <x:c r="AH17" s="20" t="n">
        <x:v>0</x:v>
      </x:c>
      <x:c r="AI17" s="20" t="n">
        <x:v>1</x:v>
      </x:c>
      <x:c r="AJ17" s="20" t="str">
        <x:v>DEBUG_ONLY</x:v>
      </x:c>
      <x:c r="AK17" s="20" t="str">
        <x:v>BLOCKED</x:v>
      </x:c>
    </x:row>
    <x:row r="18">
      <x:c r="A18" s="21" t="str">
        <x:v>site-c9ac723c0271</x:v>
      </x:c>
      <x:c r="B18" s="21" t="str">
        <x:v>khrb-lnby-nwh-c9ac72</x:v>
      </x:c>
      <x:c r="C18" s="21" t="str">
        <x:v>خربة النبي نوح</x:v>
      </x:c>
      <x:c r="D18" s="21" t="str"/>
      <x:c r="E18" s="21" t="str">
        <x:v>الخليل</x:v>
      </x:c>
      <x:c r="F18" s="21" t="str">
        <x:v>دورا</x:v>
      </x:c>
      <x:c r="G18" s="21" t="str">
        <x:v>مقام/خربة</x:v>
      </x:c>
      <x:c r="H18" s="21" t="str">
        <x:v>canonical_identity_preserved_no_identity_decision</x:v>
      </x:c>
      <x:c r="I18" s="21" t="str"/>
      <x:c r="J18" s="21" t="str">
        <x:v>GOVERNED_DRAFT_PAGE</x:v>
      </x:c>
      <x:c r="K18" s="21" t="str">
        <x:v>IMPLEMENTED_PENDING_LOCAL_UAT</x:v>
      </x:c>
      <x:c r="L18" s="21" t="n">
        <x:v>1</x:v>
      </x:c>
      <x:c r="M18" s="21" t="n">
        <x:v>1</x:v>
      </x:c>
      <x:c r="N18" s="21" t="str">
        <x:v>W2-AUTH-WAFA-NABI-NUH-2020</x:v>
      </x:c>
      <x:c r="O18" s="21" t="str"/>
      <x:c r="P18" s="21" t="n">
        <x:v>3</x:v>
      </x:c>
      <x:c r="Q18" s="21" t="n">
        <x:v>0</x:v>
      </x:c>
      <x:c r="R18" s="21" t="n">
        <x:v>0</x:v>
      </x:c>
      <x:c r="S18" s="21" t="n">
        <x:v>0</x:v>
      </x:c>
      <x:c r="T18" s="21" t="n">
        <x:v>3</x:v>
      </x:c>
      <x:c r="U18" s="21" t="n">
        <x:v>0</x:v>
      </x:c>
      <x:c r="V18" s="21" t="str"/>
      <x:c r="W18" s="21" t="str"/>
      <x:c r="X18" s="21" t="str"/>
      <x:c r="Y18" s="21" t="str">
        <x:v>needs_geospatial_verification</x:v>
      </x:c>
      <x:c r="Z18" s="21" t="str">
        <x:v>BLOCKED</x:v>
      </x:c>
      <x:c r="AA18" s="21" t="n">
        <x:v>0</x:v>
      </x:c>
      <x:c r="AB18" s="21" t="str">
        <x:v>NO_APPROVED_MEDIA_ASSET</x:v>
      </x:c>
      <x:c r="AC18" s="21" t="str">
        <x:v>R9_0_0_UI_BUILT_PENDING_LOCAL_UAT</x:v>
      </x:c>
      <x:c r="AD18" s="21" t="str">
        <x:v>2026-08-02</x:v>
      </x:c>
      <x:c r="AE18" s="21" t="str">
        <x:v>BLOCKED</x:v>
      </x:c>
      <x:c r="AF18" s="21" t="str">
        <x:v>BLOCKED</x:v>
      </x:c>
      <x:c r="AG18" s="20" t="str">
        <x:v>expandedNarrative</x:v>
      </x:c>
      <x:c r="AH18" s="20" t="n">
        <x:v>2</x:v>
      </x:c>
      <x:c r="AI18" s="20" t="n">
        <x:v>1</x:v>
      </x:c>
      <x:c r="AJ18" s="20" t="str">
        <x:v>DEBUG_ONLY</x:v>
      </x:c>
      <x:c r="AK18" s="20" t="str">
        <x:v>BLOCKED</x:v>
      </x:c>
    </x:row>
    <x:row r="19">
      <x:c r="A19" s="21" t="str">
        <x:v>site-6162b1da6edc</x:v>
      </x:c>
      <x:c r="B19" s="21" t="str">
        <x:v>yn-sr-6162b1</x:v>
      </x:c>
      <x:c r="C19" s="21" t="str">
        <x:v>عين سارة</x:v>
      </x:c>
      <x:c r="D19" s="21" t="str"/>
      <x:c r="E19" s="21" t="str">
        <x:v>الخليل</x:v>
      </x:c>
      <x:c r="F19" s="21" t="str">
        <x:v>الخليل</x:v>
      </x:c>
      <x:c r="G19" s="21" t="str">
        <x:v>نبع/عين</x:v>
      </x:c>
      <x:c r="H19" s="21" t="str">
        <x:v>canonical_identity_preserved_no_identity_decision</x:v>
      </x:c>
      <x:c r="I19" s="21" t="str"/>
      <x:c r="J19" s="21" t="str">
        <x:v>LIMITED_RESEARCH_PAGE</x:v>
      </x:c>
      <x:c r="K19" s="21" t="str">
        <x:v>IMPLEMENTED_PENDING_LOCAL_UAT</x:v>
      </x:c>
      <x:c r="L19" s="21" t="n">
        <x:v>0</x:v>
      </x:c>
      <x:c r="M19" s="21" t="n">
        <x:v>0</x:v>
      </x:c>
      <x:c r="N19" s="21" t="str"/>
      <x:c r="O19" s="21" t="str"/>
      <x:c r="P19" s="21" t="n">
        <x:v>3</x:v>
      </x:c>
      <x:c r="Q19" s="21" t="n">
        <x:v>0</x:v>
      </x:c>
      <x:c r="R19" s="21" t="n">
        <x:v>0</x:v>
      </x:c>
      <x:c r="S19" s="21" t="n">
        <x:v>1</x:v>
      </x:c>
      <x:c r="T19" s="21" t="n">
        <x:v>2</x:v>
      </x:c>
      <x:c r="U19" s="21" t="n">
        <x:v>0</x:v>
      </x:c>
      <x:c r="V19" s="21" t="str"/>
      <x:c r="W19" s="21" t="str"/>
      <x:c r="X19" s="21" t="str"/>
      <x:c r="Y19" s="21" t="str">
        <x:v>needs_geospatial_verification</x:v>
      </x:c>
      <x:c r="Z19" s="21" t="str">
        <x:v>BLOCKED</x:v>
      </x:c>
      <x:c r="AA19" s="21" t="n">
        <x:v>0</x:v>
      </x:c>
      <x:c r="AB19" s="21" t="str">
        <x:v>NO_APPROVED_MEDIA_ASSET</x:v>
      </x:c>
      <x:c r="AC19" s="21" t="str">
        <x:v>R9_0_0_UI_BUILT_PENDING_LOCAL_UAT</x:v>
      </x:c>
      <x:c r="AD19" s="21" t="str">
        <x:v>2026-08-02</x:v>
      </x:c>
      <x:c r="AE19" s="21" t="str">
        <x:v>BLOCKED</x:v>
      </x:c>
      <x:c r="AF19" s="21" t="str">
        <x:v>BLOCKED</x:v>
      </x:c>
      <x:c r="AG19" s="20" t="str">
        <x:v>catalogSummary</x:v>
      </x:c>
      <x:c r="AH19" s="20" t="n">
        <x:v>0</x:v>
      </x:c>
      <x:c r="AI19" s="20" t="n">
        <x:v>1</x:v>
      </x:c>
      <x:c r="AJ19" s="20" t="str">
        <x:v>DEBUG_ONLY</x:v>
      </x:c>
      <x:c r="AK19" s="20" t="str">
        <x:v>BLOCKED</x:v>
      </x:c>
    </x:row>
    <x:row r="20">
      <x:c r="A20" s="21" t="str">
        <x:v>site-d2c9e9bc9652</x:v>
      </x:c>
      <x:c r="B20" s="21" t="str">
        <x:v>ql-lkrml-dyr-smt-d2c9e9</x:v>
      </x:c>
      <x:c r="C20" s="21" t="str">
        <x:v>قلعة الكرمل (دير سامت)</x:v>
      </x:c>
      <x:c r="D20" s="21" t="str"/>
      <x:c r="E20" s="21" t="str">
        <x:v>الخليل</x:v>
      </x:c>
      <x:c r="F20" s="21" t="str">
        <x:v>قضاء الخليل</x:v>
      </x:c>
      <x:c r="G20" s="21" t="str">
        <x:v>قلعة</x:v>
      </x:c>
      <x:c r="H20" s="21" t="str">
        <x:v>unresolved_identity_hold</x:v>
      </x:c>
      <x:c r="I20" s="21" t="str">
        <x:v>blocked_pending_dedicated_source</x:v>
      </x:c>
      <x:c r="J20" s="21" t="str">
        <x:v>LIMITED_RESEARCH_PAGE</x:v>
      </x:c>
      <x:c r="K20" s="21" t="str">
        <x:v>IMPLEMENTED_PENDING_LOCAL_UAT</x:v>
      </x:c>
      <x:c r="L20" s="21" t="n">
        <x:v>0</x:v>
      </x:c>
      <x:c r="M20" s="21" t="n">
        <x:v>0</x:v>
      </x:c>
      <x:c r="N20" s="21" t="str"/>
      <x:c r="O20" s="21" t="str">
        <x:v>P0-SRC-PCBS-HEBRON-LOCALITIES</x:v>
      </x:c>
      <x:c r="P20" s="21" t="n">
        <x:v>2</x:v>
      </x:c>
      <x:c r="Q20" s="21" t="n">
        <x:v>1</x:v>
      </x:c>
      <x:c r="R20" s="21" t="n">
        <x:v>0</x:v>
      </x:c>
      <x:c r="S20" s="21" t="n">
        <x:v>1</x:v>
      </x:c>
      <x:c r="T20" s="21" t="n">
        <x:v>0</x:v>
      </x:c>
      <x:c r="U20" s="21" t="n">
        <x:v>1</x:v>
      </x:c>
      <x:c r="V20" s="21" t="str">
        <x:v>P0_CLOSED_CORRECTIVE_FINDING:site-d2c9e9bc9652-W2-H02</x:v>
      </x:c>
      <x:c r="W20" s="21" t="str"/>
      <x:c r="X20" s="21" t="str"/>
      <x:c r="Y20" s="21" t="str">
        <x:v>needs_geospatial_verification</x:v>
      </x:c>
      <x:c r="Z20" s="21" t="str">
        <x:v>BLOCKED</x:v>
      </x:c>
      <x:c r="AA20" s="21" t="n">
        <x:v>0</x:v>
      </x:c>
      <x:c r="AB20" s="21" t="str">
        <x:v>NO_APPROVED_MEDIA_ASSET</x:v>
      </x:c>
      <x:c r="AC20" s="21" t="str">
        <x:v>R9_0_0_UI_BUILT_PENDING_LOCAL_UAT</x:v>
      </x:c>
      <x:c r="AD20" s="21" t="str">
        <x:v>2026-08-02</x:v>
      </x:c>
      <x:c r="AE20" s="21" t="str">
        <x:v>BLOCKED</x:v>
      </x:c>
      <x:c r="AF20" s="21" t="str">
        <x:v>BLOCKED</x:v>
      </x:c>
      <x:c r="AG20" s="20" t="str">
        <x:v>catalogSummary</x:v>
      </x:c>
      <x:c r="AH20" s="20" t="n">
        <x:v>0</x:v>
      </x:c>
      <x:c r="AI20" s="20" t="n">
        <x:v>1</x:v>
      </x:c>
      <x:c r="AJ20" s="20" t="str">
        <x:v>DEBUG_ONLY</x:v>
      </x:c>
      <x:c r="AK20" s="20" t="str">
        <x:v>BLOCKED</x:v>
      </x:c>
    </x:row>
    <x:row r="21">
      <x:c r="A21" s="21" t="str">
        <x:v>site-0dc57168d963</x:v>
      </x:c>
      <x:c r="B21" s="21" t="str">
        <x:v>mgr-lbtrk-jz-mn-lhrm-0dc571</x:v>
      </x:c>
      <x:c r="C21" s="21" t="str">
        <x:v>مغارة البطاركة (جزء من الحرم)</x:v>
      </x:c>
      <x:c r="D21" s="21" t="str"/>
      <x:c r="E21" s="21" t="str">
        <x:v>الخليل</x:v>
      </x:c>
      <x:c r="F21" s="21" t="str">
        <x:v>الخليل</x:v>
      </x:c>
      <x:c r="G21" s="21" t="str">
        <x:v>مغارة</x:v>
      </x:c>
      <x:c r="H21" s="21" t="str">
        <x:v>component_relation_approved</x:v>
      </x:c>
      <x:c r="I21" s="21" t="str"/>
      <x:c r="J21" s="21" t="str">
        <x:v>GOVERNED_DRAFT_PAGE</x:v>
      </x:c>
      <x:c r="K21" s="21" t="str">
        <x:v>IMPLEMENTED_PENDING_LOCAL_UAT</x:v>
      </x:c>
      <x:c r="L21" s="21" t="n">
        <x:v>1</x:v>
      </x:c>
      <x:c r="M21" s="21" t="n">
        <x:v>1</x:v>
      </x:c>
      <x:c r="N21" s="21" t="str">
        <x:v>W2-AUTH-UNESCO-HEBRON-001</x:v>
      </x:c>
      <x:c r="O21" s="21" t="str"/>
      <x:c r="P21" s="21" t="n">
        <x:v>3</x:v>
      </x:c>
      <x:c r="Q21" s="21" t="n">
        <x:v>0</x:v>
      </x:c>
      <x:c r="R21" s="21" t="n">
        <x:v>1</x:v>
      </x:c>
      <x:c r="S21" s="21" t="n">
        <x:v>2</x:v>
      </x:c>
      <x:c r="T21" s="21" t="n">
        <x:v>0</x:v>
      </x:c>
      <x:c r="U21" s="21" t="n">
        <x:v>0</x:v>
      </x:c>
      <x:c r="V21" s="21" t="str"/>
      <x:c r="W21" s="21" t="str">
        <x:v>site-899e38be070d</x:v>
      </x:c>
      <x:c r="X21" s="21" t="str"/>
      <x:c r="Y21" s="21" t="str">
        <x:v>needs_geospatial_verification</x:v>
      </x:c>
      <x:c r="Z21" s="21" t="str">
        <x:v>BLOCKED</x:v>
      </x:c>
      <x:c r="AA21" s="21" t="n">
        <x:v>0</x:v>
      </x:c>
      <x:c r="AB21" s="21" t="str">
        <x:v>NO_APPROVED_MEDIA_ASSET</x:v>
      </x:c>
      <x:c r="AC21" s="21" t="str">
        <x:v>R9_0_0_UI_BUILT_PENDING_LOCAL_UAT</x:v>
      </x:c>
      <x:c r="AD21" s="21" t="str">
        <x:v>2026-08-02</x:v>
      </x:c>
      <x:c r="AE21" s="21" t="str">
        <x:v>BLOCKED</x:v>
      </x:c>
      <x:c r="AF21" s="21" t="str">
        <x:v>BLOCKED</x:v>
      </x:c>
      <x:c r="AG21" s="20" t="str">
        <x:v>catalogSummary</x:v>
      </x:c>
      <x:c r="AH21" s="20" t="n">
        <x:v>0</x:v>
      </x:c>
      <x:c r="AI21" s="20" t="n">
        <x:v>1</x:v>
      </x:c>
      <x:c r="AJ21" s="20" t="str">
        <x:v>DEBUG_ONLY</x:v>
      </x:c>
      <x:c r="AK21" s="20" t="str">
        <x:v>BLOCKED</x:v>
      </x:c>
    </x:row>
    <x:row r="22">
      <x:c r="A22" s="21" t="str">
        <x:v>site-7532d020842e</x:v>
      </x:c>
      <x:c r="B22" s="21" t="str">
        <x:v>mqm-lshykh-ly-lbk-7532d0</x:v>
      </x:c>
      <x:c r="C22" s="21" t="str">
        <x:v>مقام الشيخ علي البكاء</x:v>
      </x:c>
      <x:c r="D22" s="21" t="str"/>
      <x:c r="E22" s="21" t="str">
        <x:v>الخليل</x:v>
      </x:c>
      <x:c r="F22" s="21" t="str">
        <x:v>الخليل</x:v>
      </x:c>
      <x:c r="G22" s="21" t="str">
        <x:v>مقام</x:v>
      </x:c>
      <x:c r="H22" s="21" t="str">
        <x:v>canonical_identity_preserved_no_identity_decision</x:v>
      </x:c>
      <x:c r="I22" s="21" t="str"/>
      <x:c r="J22" s="21" t="str">
        <x:v>GOVERNED_DRAFT_PAGE</x:v>
      </x:c>
      <x:c r="K22" s="21" t="str">
        <x:v>IMPLEMENTED_PENDING_LOCAL_UAT</x:v>
      </x:c>
      <x:c r="L22" s="21" t="n">
        <x:v>1</x:v>
      </x:c>
      <x:c r="M22" s="21" t="n">
        <x:v>1</x:v>
      </x:c>
      <x:c r="N22" s="21" t="str">
        <x:v>W2-AUTH-ICOMOS-HEBRON-2017</x:v>
      </x:c>
      <x:c r="O22" s="21" t="str"/>
      <x:c r="P22" s="21" t="n">
        <x:v>3</x:v>
      </x:c>
      <x:c r="Q22" s="21" t="n">
        <x:v>0</x:v>
      </x:c>
      <x:c r="R22" s="21" t="n">
        <x:v>1</x:v>
      </x:c>
      <x:c r="S22" s="21" t="n">
        <x:v>1</x:v>
      </x:c>
      <x:c r="T22" s="21" t="n">
        <x:v>1</x:v>
      </x:c>
      <x:c r="U22" s="21" t="n">
        <x:v>0</x:v>
      </x:c>
      <x:c r="V22" s="21" t="str"/>
      <x:c r="W22" s="21" t="str"/>
      <x:c r="X22" s="21" t="str"/>
      <x:c r="Y22" s="21" t="str">
        <x:v>needs_geospatial_verification</x:v>
      </x:c>
      <x:c r="Z22" s="21" t="str">
        <x:v>BLOCKED</x:v>
      </x:c>
      <x:c r="AA22" s="21" t="n">
        <x:v>0</x:v>
      </x:c>
      <x:c r="AB22" s="21" t="str">
        <x:v>NO_APPROVED_MEDIA_ASSET</x:v>
      </x:c>
      <x:c r="AC22" s="21" t="str">
        <x:v>R9_0_0_UI_BUILT_PENDING_LOCAL_UAT</x:v>
      </x:c>
      <x:c r="AD22" s="21" t="str">
        <x:v>2026-08-02</x:v>
      </x:c>
      <x:c r="AE22" s="21" t="str">
        <x:v>BLOCKED</x:v>
      </x:c>
      <x:c r="AF22" s="21" t="str">
        <x:v>BLOCKED</x:v>
      </x:c>
      <x:c r="AG22" s="20" t="str">
        <x:v>catalogSummary</x:v>
      </x:c>
      <x:c r="AH22" s="20" t="n">
        <x:v>0</x:v>
      </x:c>
      <x:c r="AI22" s="20" t="n">
        <x:v>1</x:v>
      </x:c>
      <x:c r="AJ22" s="20" t="str">
        <x:v>DEBUG_ONLY</x:v>
      </x:c>
      <x:c r="AK22" s="20" t="str">
        <x:v>BLOCKED</x:v>
      </x:c>
    </x:row>
    <x:row r="23">
      <x:c r="A23" s="21" t="str">
        <x:v>site-37c8be50ce73</x:v>
      </x:c>
      <x:c r="B23" s="21" t="str">
        <x:v>brk-slymn-37c8be</x:v>
      </x:c>
      <x:c r="C23" s="21" t="str">
        <x:v>برك سليمان</x:v>
      </x:c>
      <x:c r="D23" s="21" t="str">
        <x:v>Solomon's Pools</x:v>
      </x:c>
      <x:c r="E23" s="21" t="str">
        <x:v>بيت لحم</x:v>
      </x:c>
      <x:c r="F23" s="21" t="str">
        <x:v>أرطاس</x:v>
      </x:c>
      <x:c r="G23" s="21" t="str">
        <x:v>بركة/خزان مياه</x:v>
      </x:c>
      <x:c r="H23" s="21" t="str">
        <x:v>canonical_identity_preserved_no_identity_decision</x:v>
      </x:c>
      <x:c r="I23" s="21" t="str"/>
      <x:c r="J23" s="21" t="str">
        <x:v>GOVERNED_DRAFT_PAGE</x:v>
      </x:c>
      <x:c r="K23" s="21" t="str">
        <x:v>IMPLEMENTED_PENDING_LOCAL_UAT</x:v>
      </x:c>
      <x:c r="L23" s="21" t="n">
        <x:v>1</x:v>
      </x:c>
      <x:c r="M23" s="21" t="n">
        <x:v>1</x:v>
      </x:c>
      <x:c r="N23" s="21" t="str">
        <x:v>W2-AUTH-ARCHNET-SOLOMON-POOLS-001</x:v>
      </x:c>
      <x:c r="O23" s="21" t="str"/>
      <x:c r="P23" s="21" t="n">
        <x:v>3</x:v>
      </x:c>
      <x:c r="Q23" s="21" t="n">
        <x:v>0</x:v>
      </x:c>
      <x:c r="R23" s="21" t="n">
        <x:v>0</x:v>
      </x:c>
      <x:c r="S23" s="21" t="n">
        <x:v>1</x:v>
      </x:c>
      <x:c r="T23" s="21" t="n">
        <x:v>2</x:v>
      </x:c>
      <x:c r="U23" s="21" t="n">
        <x:v>0</x:v>
      </x:c>
      <x:c r="V23" s="21" t="str"/>
      <x:c r="W23" s="21" t="str"/>
      <x:c r="X23" s="21" t="str">
        <x:v>site-63fe9eba7871</x:v>
      </x:c>
      <x:c r="Y23" s="21" t="str">
        <x:v>available_for_review</x:v>
      </x:c>
      <x:c r="Z23" s="21" t="str">
        <x:v>BLOCKED</x:v>
      </x:c>
      <x:c r="AA23" s="21" t="n">
        <x:v>0</x:v>
      </x:c>
      <x:c r="AB23" s="21" t="str">
        <x:v>NO_APPROVED_MEDIA_ASSET</x:v>
      </x:c>
      <x:c r="AC23" s="21" t="str">
        <x:v>R9_0_0_UI_BUILT_PENDING_LOCAL_UAT</x:v>
      </x:c>
      <x:c r="AD23" s="21" t="str">
        <x:v>2026-08-02</x:v>
      </x:c>
      <x:c r="AE23" s="21" t="str">
        <x:v>BLOCKED</x:v>
      </x:c>
      <x:c r="AF23" s="21" t="str">
        <x:v>BLOCKED</x:v>
      </x:c>
      <x:c r="AG23" s="20" t="str">
        <x:v>expandedNarrative</x:v>
      </x:c>
      <x:c r="AH23" s="20" t="n">
        <x:v>4</x:v>
      </x:c>
      <x:c r="AI23" s="20" t="n">
        <x:v>1</x:v>
      </x:c>
      <x:c r="AJ23" s="20" t="str">
        <x:v>DEBUG_ONLY</x:v>
      </x:c>
      <x:c r="AK23" s="20" t="str">
        <x:v>BLOCKED</x:v>
      </x:c>
    </x:row>
    <x:row r="24">
      <x:c r="A24" s="21" t="str">
        <x:v>site-f97aa993c98b</x:v>
      </x:c>
      <x:c r="B24" s="21" t="str">
        <x:v>dyr-ljn-lkhdr-f97aa9</x:v>
      </x:c>
      <x:c r="C24" s="21" t="str">
        <x:v>دير الجنة (الخضر)</x:v>
      </x:c>
      <x:c r="D24" s="21" t="str"/>
      <x:c r="E24" s="21" t="str">
        <x:v>بيت لحم</x:v>
      </x:c>
      <x:c r="F24" s="21" t="str">
        <x:v>الخضر</x:v>
      </x:c>
      <x:c r="G24" s="21" t="str">
        <x:v>دير</x:v>
      </x:c>
      <x:c r="H24" s="21" t="str">
        <x:v>canonical_identity_preserved_no_identity_decision</x:v>
      </x:c>
      <x:c r="I24" s="21" t="str">
        <x:v>IDENTITY_MISMATCH_HOLD</x:v>
      </x:c>
      <x:c r="J24" s="21" t="str">
        <x:v>LIMITED_RESEARCH_PAGE</x:v>
      </x:c>
      <x:c r="K24" s="21" t="str">
        <x:v>IMPLEMENTED_PENDING_LOCAL_UAT</x:v>
      </x:c>
      <x:c r="L24" s="21" t="n">
        <x:v>0</x:v>
      </x:c>
      <x:c r="M24" s="21" t="n">
        <x:v>0</x:v>
      </x:c>
      <x:c r="N24" s="21" t="str"/>
      <x:c r="O24" s="21" t="str"/>
      <x:c r="P24" s="21" t="n">
        <x:v>2</x:v>
      </x:c>
      <x:c r="Q24" s="21" t="n">
        <x:v>0</x:v>
      </x:c>
      <x:c r="R24" s="21" t="n">
        <x:v>0</x:v>
      </x:c>
      <x:c r="S24" s="21" t="n">
        <x:v>1</x:v>
      </x:c>
      <x:c r="T24" s="21" t="n">
        <x:v>1</x:v>
      </x:c>
      <x:c r="U24" s="21" t="n">
        <x:v>0</x:v>
      </x:c>
      <x:c r="V24" s="21" t="str"/>
      <x:c r="W24" s="21" t="str"/>
      <x:c r="X24" s="21" t="str"/>
      <x:c r="Y24" s="21" t="str">
        <x:v>needs_geospatial_verification</x:v>
      </x:c>
      <x:c r="Z24" s="21" t="str">
        <x:v>BLOCKED</x:v>
      </x:c>
      <x:c r="AA24" s="21" t="n">
        <x:v>0</x:v>
      </x:c>
      <x:c r="AB24" s="21" t="str">
        <x:v>NO_APPROVED_MEDIA_ASSET</x:v>
      </x:c>
      <x:c r="AC24" s="21" t="str">
        <x:v>R9_0_0_UI_BUILT_PENDING_LOCAL_UAT</x:v>
      </x:c>
      <x:c r="AD24" s="21" t="str">
        <x:v>2026-08-02</x:v>
      </x:c>
      <x:c r="AE24" s="21" t="str">
        <x:v>BLOCKED</x:v>
      </x:c>
      <x:c r="AF24" s="21" t="str">
        <x:v>BLOCKED</x:v>
      </x:c>
      <x:c r="AG24" s="20" t="str">
        <x:v>expandedNarrative</x:v>
      </x:c>
      <x:c r="AH24" s="20" t="n">
        <x:v>3</x:v>
      </x:c>
      <x:c r="AI24" s="20" t="n">
        <x:v>1</x:v>
      </x:c>
      <x:c r="AJ24" s="20" t="str">
        <x:v>DEBUG_ONLY</x:v>
      </x:c>
      <x:c r="AK24" s="20" t="str">
        <x:v>BLOCKED</x:v>
      </x:c>
    </x:row>
    <x:row r="25">
      <x:c r="A25" s="21" t="str">
        <x:v>site-a8aeb054b451</x:v>
      </x:c>
      <x:c r="B25" s="21" t="str">
        <x:v>dyr-mr-sb-a8aeb0</x:v>
      </x:c>
      <x:c r="C25" s="21" t="str">
        <x:v>دير مار سابا</x:v>
      </x:c>
      <x:c r="D25" s="21" t="str"/>
      <x:c r="E25" s="21" t="str">
        <x:v>بيت لحم</x:v>
      </x:c>
      <x:c r="F25" s="21" t="str">
        <x:v>شرق بيت لحم</x:v>
      </x:c>
      <x:c r="G25" s="21" t="str">
        <x:v>دير</x:v>
      </x:c>
      <x:c r="H25" s="21" t="str">
        <x:v>canonical_identity_preserved_no_identity_decision</x:v>
      </x:c>
      <x:c r="I25" s="21" t="str"/>
      <x:c r="J25" s="21" t="str">
        <x:v>GOVERNED_DRAFT_PAGE</x:v>
      </x:c>
      <x:c r="K25" s="21" t="str">
        <x:v>IMPLEMENTED_PENDING_LOCAL_UAT</x:v>
      </x:c>
      <x:c r="L25" s="21" t="n">
        <x:v>1</x:v>
      </x:c>
      <x:c r="M25" s="21" t="n">
        <x:v>1</x:v>
      </x:c>
      <x:c r="N25" s="21" t="str">
        <x:v>W2-AUTH-JERUSALEM-PATRIARCHATE-MAR-SABA-001</x:v>
      </x:c>
      <x:c r="O25" s="21" t="str"/>
      <x:c r="P25" s="21" t="n">
        <x:v>2</x:v>
      </x:c>
      <x:c r="Q25" s="21" t="n">
        <x:v>0</x:v>
      </x:c>
      <x:c r="R25" s="21" t="n">
        <x:v>0</x:v>
      </x:c>
      <x:c r="S25" s="21" t="n">
        <x:v>0</x:v>
      </x:c>
      <x:c r="T25" s="21" t="n">
        <x:v>2</x:v>
      </x:c>
      <x:c r="U25" s="21" t="n">
        <x:v>0</x:v>
      </x:c>
      <x:c r="V25" s="21" t="str"/>
      <x:c r="W25" s="21" t="str"/>
      <x:c r="X25" s="21" t="str"/>
      <x:c r="Y25" s="21" t="str">
        <x:v>needs_geospatial_verification</x:v>
      </x:c>
      <x:c r="Z25" s="21" t="str">
        <x:v>BLOCKED</x:v>
      </x:c>
      <x:c r="AA25" s="21" t="n">
        <x:v>0</x:v>
      </x:c>
      <x:c r="AB25" s="21" t="str">
        <x:v>NO_APPROVED_MEDIA_ASSET</x:v>
      </x:c>
      <x:c r="AC25" s="21" t="str">
        <x:v>R9_0_0_UI_BUILT_PENDING_LOCAL_UAT</x:v>
      </x:c>
      <x:c r="AD25" s="21" t="str">
        <x:v>2026-08-02</x:v>
      </x:c>
      <x:c r="AE25" s="21" t="str">
        <x:v>BLOCKED</x:v>
      </x:c>
      <x:c r="AF25" s="21" t="str">
        <x:v>BLOCKED</x:v>
      </x:c>
      <x:c r="AG25" s="20" t="str">
        <x:v>expandedNarrative</x:v>
      </x:c>
      <x:c r="AH25" s="20" t="n">
        <x:v>6</x:v>
      </x:c>
      <x:c r="AI25" s="20" t="n">
        <x:v>2</x:v>
      </x:c>
      <x:c r="AJ25" s="20" t="str">
        <x:v>DEBUG_ONLY</x:v>
      </x:c>
      <x:c r="AK25" s="20" t="str">
        <x:v>BLOCKED</x:v>
      </x:c>
    </x:row>
    <x:row r="26">
      <x:c r="A26" s="21" t="str">
        <x:v>site-88fede7b6df0</x:v>
      </x:c>
      <x:c r="B26" s="21" t="str">
        <x:v>qry-btyr-88fede</x:v>
      </x:c>
      <x:c r="C26" s="21" t="str">
        <x:v>قرية بتير</x:v>
      </x:c>
      <x:c r="D26" s="21" t="str"/>
      <x:c r="E26" s="21" t="str">
        <x:v>بيت لحم</x:v>
      </x:c>
      <x:c r="F26" s="21" t="str">
        <x:v>بتير</x:v>
      </x:c>
      <x:c r="G26" s="21" t="str">
        <x:v>بلدة قديمة</x:v>
      </x:c>
      <x:c r="H26" s="21" t="str">
        <x:v>canonical_identity_preserved_no_identity_decision</x:v>
      </x:c>
      <x:c r="I26" s="21" t="str"/>
      <x:c r="J26" s="21" t="str">
        <x:v>GOVERNED_DRAFT_PAGE</x:v>
      </x:c>
      <x:c r="K26" s="21" t="str">
        <x:v>IMPLEMENTED_PENDING_LOCAL_UAT</x:v>
      </x:c>
      <x:c r="L26" s="21" t="n">
        <x:v>2</x:v>
      </x:c>
      <x:c r="M26" s="21" t="n">
        <x:v>1</x:v>
      </x:c>
      <x:c r="N26" s="21" t="str">
        <x:v>AUTH-UNESCO-BATTIR-001</x:v>
      </x:c>
      <x:c r="O26" s="21" t="str"/>
      <x:c r="P26" s="21" t="n">
        <x:v>0</x:v>
      </x:c>
      <x:c r="Q26" s="21" t="n">
        <x:v>0</x:v>
      </x:c>
      <x:c r="R26" s="21" t="n">
        <x:v>0</x:v>
      </x:c>
      <x:c r="S26" s="21" t="n">
        <x:v>0</x:v>
      </x:c>
      <x:c r="T26" s="21" t="n">
        <x:v>0</x:v>
      </x:c>
      <x:c r="U26" s="21" t="n">
        <x:v>0</x:v>
      </x:c>
      <x:c r="V26" s="21" t="str"/>
      <x:c r="W26" s="21" t="str"/>
      <x:c r="X26" s="21" t="str"/>
      <x:c r="Y26" s="21" t="str">
        <x:v>needs_geospatial_verification</x:v>
      </x:c>
      <x:c r="Z26" s="21" t="str">
        <x:v>BLOCKED</x:v>
      </x:c>
      <x:c r="AA26" s="21" t="n">
        <x:v>0</x:v>
      </x:c>
      <x:c r="AB26" s="21" t="str">
        <x:v>NO_APPROVED_MEDIA_ASSET</x:v>
      </x:c>
      <x:c r="AC26" s="21" t="str">
        <x:v>R9_0_0_UI_BUILT_PENDING_LOCAL_UAT</x:v>
      </x:c>
      <x:c r="AD26" s="21" t="str">
        <x:v>2026-08-02</x:v>
      </x:c>
      <x:c r="AE26" s="21" t="str">
        <x:v>BLOCKED</x:v>
      </x:c>
      <x:c r="AF26" s="21" t="str">
        <x:v>BLOCKED</x:v>
      </x:c>
      <x:c r="AG26" s="20" t="str">
        <x:v>expandedNarrative</x:v>
      </x:c>
      <x:c r="AH26" s="20" t="n">
        <x:v>7</x:v>
      </x:c>
      <x:c r="AI26" s="20" t="n">
        <x:v>1</x:v>
      </x:c>
      <x:c r="AJ26" s="20" t="str">
        <x:v>DEBUG_ONLY</x:v>
      </x:c>
      <x:c r="AK26" s="20" t="str">
        <x:v>BLOCKED</x:v>
      </x:c>
    </x:row>
    <x:row r="27">
      <x:c r="A27" s="21" t="str">
        <x:v>site-133155518939</x:v>
      </x:c>
      <x:c r="B27" s="21" t="str">
        <x:v>qsr-hyrwdywn-133155</x:v>
      </x:c>
      <x:c r="C27" s="21" t="str">
        <x:v>قصر هيروديون</x:v>
      </x:c>
      <x:c r="D27" s="21" t="str"/>
      <x:c r="E27" s="21" t="str">
        <x:v>بيت لحم</x:v>
      </x:c>
      <x:c r="F27" s="21" t="str">
        <x:v>شرق بيت لحم</x:v>
      </x:c>
      <x:c r="G27" s="21" t="str">
        <x:v>حصن/قصر</x:v>
      </x:c>
      <x:c r="H27" s="21" t="str">
        <x:v>canonical_identity_preserved_no_identity_decision</x:v>
      </x:c>
      <x:c r="I27" s="21" t="str"/>
      <x:c r="J27" s="21" t="str">
        <x:v>GOVERNED_DRAFT_PAGE</x:v>
      </x:c>
      <x:c r="K27" s="21" t="str">
        <x:v>IMPLEMENTED_PENDING_LOCAL_UAT</x:v>
      </x:c>
      <x:c r="L27" s="21" t="n">
        <x:v>2</x:v>
      </x:c>
      <x:c r="M27" s="21" t="n">
        <x:v>2</x:v>
      </x:c>
      <x:c r="N27" s="21" t="str">
        <x:v>W2-AUTH-SBF-HERODIUM-BIBLIOGRAPHY-001; W2-AUTH-SBF-HERODIUM-CHRISTIAN-001</x:v>
      </x:c>
      <x:c r="O27" s="21" t="str">
        <x:v>P0-SRC-HERODIUM-PARK</x:v>
      </x:c>
      <x:c r="P27" s="21" t="n">
        <x:v>3</x:v>
      </x:c>
      <x:c r="Q27" s="21" t="n">
        <x:v>1</x:v>
      </x:c>
      <x:c r="R27" s="21" t="n">
        <x:v>0</x:v>
      </x:c>
      <x:c r="S27" s="21" t="n">
        <x:v>1</x:v>
      </x:c>
      <x:c r="T27" s="21" t="n">
        <x:v>1</x:v>
      </x:c>
      <x:c r="U27" s="21" t="n">
        <x:v>1</x:v>
      </x:c>
      <x:c r="V27" s="21" t="str">
        <x:v>P0_PARTIAL_DOCUMENTARY_CLOSURE:site-133155518939-W2-H03</x:v>
      </x:c>
      <x:c r="W27" s="21" t="str"/>
      <x:c r="X27" s="21" t="str"/>
      <x:c r="Y27" s="21" t="str">
        <x:v>needs_geospatial_verification</x:v>
      </x:c>
      <x:c r="Z27" s="21" t="str">
        <x:v>BLOCKED</x:v>
      </x:c>
      <x:c r="AA27" s="21" t="n">
        <x:v>0</x:v>
      </x:c>
      <x:c r="AB27" s="21" t="str">
        <x:v>NO_APPROVED_MEDIA_ASSET</x:v>
      </x:c>
      <x:c r="AC27" s="21" t="str">
        <x:v>R9_0_0_UI_BUILT_PENDING_LOCAL_UAT</x:v>
      </x:c>
      <x:c r="AD27" s="21" t="str">
        <x:v>2026-08-02</x:v>
      </x:c>
      <x:c r="AE27" s="21" t="str">
        <x:v>BLOCKED</x:v>
      </x:c>
      <x:c r="AF27" s="21" t="str">
        <x:v>BLOCKED</x:v>
      </x:c>
      <x:c r="AG27" s="20" t="str">
        <x:v>expandedNarrative</x:v>
      </x:c>
      <x:c r="AH27" s="20" t="n">
        <x:v>5</x:v>
      </x:c>
      <x:c r="AI27" s="20" t="n">
        <x:v>1</x:v>
      </x:c>
      <x:c r="AJ27" s="20" t="str">
        <x:v>DEBUG_ONLY</x:v>
      </x:c>
      <x:c r="AK27" s="20" t="str">
        <x:v>BLOCKED</x:v>
      </x:c>
    </x:row>
    <x:row r="28">
      <x:c r="A28" s="21" t="str">
        <x:v>site-63fe9eba7871</x:v>
      </x:c>
      <x:c r="B28" s="21" t="str">
        <x:v>ql-lbrk-63fe9e</x:v>
      </x:c>
      <x:c r="C28" s="21" t="str">
        <x:v>قلعة البرك</x:v>
      </x:c>
      <x:c r="D28" s="21" t="str"/>
      <x:c r="E28" s="21" t="str">
        <x:v>بيت لحم</x:v>
      </x:c>
      <x:c r="F28" s="21" t="str">
        <x:v>أرطاس</x:v>
      </x:c>
      <x:c r="G28" s="21" t="str">
        <x:v>قلعة</x:v>
      </x:c>
      <x:c r="H28" s="21" t="str">
        <x:v>component_relation_approved</x:v>
      </x:c>
      <x:c r="I28" s="21" t="str"/>
      <x:c r="J28" s="21" t="str">
        <x:v>GOVERNED_DRAFT_PAGE</x:v>
      </x:c>
      <x:c r="K28" s="21" t="str">
        <x:v>IMPLEMENTED_PENDING_LOCAL_UAT</x:v>
      </x:c>
      <x:c r="L28" s="21" t="n">
        <x:v>1</x:v>
      </x:c>
      <x:c r="M28" s="21" t="n">
        <x:v>1</x:v>
      </x:c>
      <x:c r="N28" s="21" t="str">
        <x:v>W2-AUTH-ARCHNET-SOLOMON-POOLS-001</x:v>
      </x:c>
      <x:c r="O28" s="21" t="str"/>
      <x:c r="P28" s="21" t="n">
        <x:v>3</x:v>
      </x:c>
      <x:c r="Q28" s="21" t="n">
        <x:v>0</x:v>
      </x:c>
      <x:c r="R28" s="21" t="n">
        <x:v>1</x:v>
      </x:c>
      <x:c r="S28" s="21" t="n">
        <x:v>1</x:v>
      </x:c>
      <x:c r="T28" s="21" t="n">
        <x:v>1</x:v>
      </x:c>
      <x:c r="U28" s="21" t="n">
        <x:v>0</x:v>
      </x:c>
      <x:c r="V28" s="21" t="str"/>
      <x:c r="W28" s="21" t="str">
        <x:v>site-37c8be50ce73</x:v>
      </x:c>
      <x:c r="X28" s="21" t="str"/>
      <x:c r="Y28" s="21" t="str">
        <x:v>needs_geospatial_verification</x:v>
      </x:c>
      <x:c r="Z28" s="21" t="str">
        <x:v>BLOCKED</x:v>
      </x:c>
      <x:c r="AA28" s="21" t="n">
        <x:v>0</x:v>
      </x:c>
      <x:c r="AB28" s="21" t="str">
        <x:v>NO_APPROVED_MEDIA_ASSET</x:v>
      </x:c>
      <x:c r="AC28" s="21" t="str">
        <x:v>R9_0_0_UI_BUILT_PENDING_LOCAL_UAT</x:v>
      </x:c>
      <x:c r="AD28" s="21" t="str">
        <x:v>2026-08-02</x:v>
      </x:c>
      <x:c r="AE28" s="21" t="str">
        <x:v>BLOCKED</x:v>
      </x:c>
      <x:c r="AF28" s="21" t="str">
        <x:v>BLOCKED</x:v>
      </x:c>
      <x:c r="AG28" s="20" t="str">
        <x:v>catalogSummary</x:v>
      </x:c>
      <x:c r="AH28" s="20" t="n">
        <x:v>0</x:v>
      </x:c>
      <x:c r="AI28" s="20" t="n">
        <x:v>1</x:v>
      </x:c>
      <x:c r="AJ28" s="20" t="str">
        <x:v>DEBUG_ONLY</x:v>
      </x:c>
      <x:c r="AK28" s="20" t="str">
        <x:v>BLOCKED</x:v>
      </x:c>
    </x:row>
    <x:row r="29">
      <x:c r="A29" s="21" t="str">
        <x:v>site-4b15f14c306f</x:v>
      </x:c>
      <x:c r="B29" s="21" t="str">
        <x:v>knys-lmhd-4b15f1</x:v>
      </x:c>
      <x:c r="C29" s="21" t="str">
        <x:v>كنيسة المهد</x:v>
      </x:c>
      <x:c r="D29" s="21" t="str">
        <x:v>Church of the Nativity</x:v>
      </x:c>
      <x:c r="E29" s="21" t="str">
        <x:v>بيت لحم</x:v>
      </x:c>
      <x:c r="F29" s="21" t="str">
        <x:v>بيت لحم</x:v>
      </x:c>
      <x:c r="G29" s="21" t="str">
        <x:v>كنيسة</x:v>
      </x:c>
      <x:c r="H29" s="21" t="str">
        <x:v>preserved_claim_level_review_only</x:v>
      </x:c>
      <x:c r="I29" s="21" t="str"/>
      <x:c r="J29" s="21" t="str">
        <x:v>GOVERNED_DRAFT_PAGE</x:v>
      </x:c>
      <x:c r="K29" s="21" t="str">
        <x:v>IMPLEMENTED_PENDING_LOCAL_UAT</x:v>
      </x:c>
      <x:c r="L29" s="21" t="n">
        <x:v>2</x:v>
      </x:c>
      <x:c r="M29" s="21" t="n">
        <x:v>1</x:v>
      </x:c>
      <x:c r="N29" s="21" t="str">
        <x:v>AUTH-UNESCO-NATIVITY-001</x:v>
      </x:c>
      <x:c r="O29" s="21" t="str"/>
      <x:c r="P29" s="21" t="n">
        <x:v>0</x:v>
      </x:c>
      <x:c r="Q29" s="21" t="n">
        <x:v>0</x:v>
      </x:c>
      <x:c r="R29" s="21" t="n">
        <x:v>0</x:v>
      </x:c>
      <x:c r="S29" s="21" t="n">
        <x:v>0</x:v>
      </x:c>
      <x:c r="T29" s="21" t="n">
        <x:v>0</x:v>
      </x:c>
      <x:c r="U29" s="21" t="n">
        <x:v>0</x:v>
      </x:c>
      <x:c r="V29" s="21" t="str"/>
      <x:c r="W29" s="21" t="str"/>
      <x:c r="X29" s="21" t="str"/>
      <x:c r="Y29" s="21" t="str">
        <x:v>needs_geospatial_verification</x:v>
      </x:c>
      <x:c r="Z29" s="21" t="str">
        <x:v>BLOCKED</x:v>
      </x:c>
      <x:c r="AA29" s="21" t="n">
        <x:v>0</x:v>
      </x:c>
      <x:c r="AB29" s="21" t="str">
        <x:v>NO_APPROVED_MEDIA_ASSET</x:v>
      </x:c>
      <x:c r="AC29" s="21" t="str">
        <x:v>R9_0_0_UI_BUILT_PENDING_LOCAL_UAT</x:v>
      </x:c>
      <x:c r="AD29" s="21" t="str">
        <x:v>2026-08-02</x:v>
      </x:c>
      <x:c r="AE29" s="21" t="str">
        <x:v>BLOCKED</x:v>
      </x:c>
      <x:c r="AF29" s="21" t="str">
        <x:v>BLOCKED</x:v>
      </x:c>
      <x:c r="AG29" s="20" t="str">
        <x:v>expandedNarrative</x:v>
      </x:c>
      <x:c r="AH29" s="20" t="n">
        <x:v>7</x:v>
      </x:c>
      <x:c r="AI29" s="20" t="n">
        <x:v>1</x:v>
      </x:c>
      <x:c r="AJ29" s="20" t="str">
        <x:v>DEBUG_ONLY</x:v>
      </x:c>
      <x:c r="AK29" s="20" t="str">
        <x:v>BLOCKED</x:v>
      </x:c>
    </x:row>
    <x:row r="30">
      <x:c r="A30" s="21" t="str">
        <x:v>site-57adc62d6d70</x:v>
      </x:c>
      <x:c r="B30" s="21" t="str">
        <x:v>mgr-lhlyb-57adc6</x:v>
      </x:c>
      <x:c r="C30" s="21" t="str">
        <x:v>مغارة الحليب</x:v>
      </x:c>
      <x:c r="D30" s="21" t="str"/>
      <x:c r="E30" s="21" t="str">
        <x:v>بيت لحم</x:v>
      </x:c>
      <x:c r="F30" s="21" t="str">
        <x:v>بيت لحم</x:v>
      </x:c>
      <x:c r="G30" s="21" t="str">
        <x:v>كنيسة/مغارة</x:v>
      </x:c>
      <x:c r="H30" s="21" t="str">
        <x:v>canonical_identity_preserved_no_identity_decision</x:v>
      </x:c>
      <x:c r="I30" s="21" t="str"/>
      <x:c r="J30" s="21" t="str">
        <x:v>GOVERNED_DRAFT_PAGE</x:v>
      </x:c>
      <x:c r="K30" s="21" t="str">
        <x:v>IMPLEMENTED_PENDING_LOCAL_UAT</x:v>
      </x:c>
      <x:c r="L30" s="21" t="n">
        <x:v>2</x:v>
      </x:c>
      <x:c r="M30" s="21" t="n">
        <x:v>2</x:v>
      </x:c>
      <x:c r="N30" s="21" t="str">
        <x:v>W2-AUTH-SBF-MILK-GROTTO-001; W2-AUTH-SBF-MILK-GROTTO-EXCAVATION-2005</x:v>
      </x:c>
      <x:c r="O30" s="21" t="str"/>
      <x:c r="P30" s="21" t="n">
        <x:v>3</x:v>
      </x:c>
      <x:c r="Q30" s="21" t="n">
        <x:v>0</x:v>
      </x:c>
      <x:c r="R30" s="21" t="n">
        <x:v>0</x:v>
      </x:c>
      <x:c r="S30" s="21" t="n">
        <x:v>0</x:v>
      </x:c>
      <x:c r="T30" s="21" t="n">
        <x:v>3</x:v>
      </x:c>
      <x:c r="U30" s="21" t="n">
        <x:v>0</x:v>
      </x:c>
      <x:c r="V30" s="21" t="str"/>
      <x:c r="W30" s="21" t="str"/>
      <x:c r="X30" s="21" t="str"/>
      <x:c r="Y30" s="21" t="str">
        <x:v>needs_geospatial_verification</x:v>
      </x:c>
      <x:c r="Z30" s="21" t="str">
        <x:v>BLOCKED</x:v>
      </x:c>
      <x:c r="AA30" s="21" t="n">
        <x:v>0</x:v>
      </x:c>
      <x:c r="AB30" s="21" t="str">
        <x:v>NO_APPROVED_MEDIA_ASSET</x:v>
      </x:c>
      <x:c r="AC30" s="21" t="str">
        <x:v>R9_0_0_UI_BUILT_PENDING_LOCAL_UAT</x:v>
      </x:c>
      <x:c r="AD30" s="21" t="str">
        <x:v>2026-08-02</x:v>
      </x:c>
      <x:c r="AE30" s="21" t="str">
        <x:v>BLOCKED</x:v>
      </x:c>
      <x:c r="AF30" s="21" t="str">
        <x:v>BLOCKED</x:v>
      </x:c>
      <x:c r="AG30" s="20" t="str">
        <x:v>catalogSummary</x:v>
      </x:c>
      <x:c r="AH30" s="20" t="n">
        <x:v>0</x:v>
      </x:c>
      <x:c r="AI30" s="20" t="n">
        <x:v>1</x:v>
      </x:c>
      <x:c r="AJ30" s="20" t="str">
        <x:v>DEBUG_ONLY</x:v>
      </x:c>
      <x:c r="AK30" s="20" t="str">
        <x:v>BLOCKED</x:v>
      </x:c>
    </x:row>
    <x:row r="31">
      <x:c r="A31" s="21" t="str">
        <x:v>site-e2a5c15f76f6</x:v>
      </x:c>
      <x:c r="B31" s="21" t="str">
        <x:v>bld-byrzyt-lqdym-e2a5c1</x:v>
      </x:c>
      <x:c r="C31" s="21" t="str">
        <x:v>بلدة بيرزيت القديمة</x:v>
      </x:c>
      <x:c r="D31" s="21" t="str"/>
      <x:c r="E31" s="21" t="str">
        <x:v>رام الله والبيرة</x:v>
      </x:c>
      <x:c r="F31" s="21" t="str">
        <x:v>بيرزيت</x:v>
      </x:c>
      <x:c r="G31" s="21" t="str">
        <x:v>عنقود عمراني تاريخي</x:v>
      </x:c>
      <x:c r="H31" s="21" t="str">
        <x:v>reclassified_to_governed_cluster</x:v>
      </x:c>
      <x:c r="I31" s="21" t="str"/>
      <x:c r="J31" s="21" t="str">
        <x:v>GOVERNED_DRAFT_PAGE</x:v>
      </x:c>
      <x:c r="K31" s="21" t="str">
        <x:v>IMPLEMENTED_PENDING_LOCAL_UAT</x:v>
      </x:c>
      <x:c r="L31" s="21" t="n">
        <x:v>1</x:v>
      </x:c>
      <x:c r="M31" s="21" t="n">
        <x:v>2</x:v>
      </x:c>
      <x:c r="N31" s="21" t="str">
        <x:v>W5-AUTH-RIWAQ-BIRZEIT-001; W5-AUTH-RIWAQ-BIRZEIT-AWARD-001</x:v>
      </x:c>
      <x:c r="O31" s="21" t="str">
        <x:v>P0-SRC-RIWAQ-BIRZEIT</x:v>
      </x:c>
      <x:c r="P31" s="21" t="n">
        <x:v>3</x:v>
      </x:c>
      <x:c r="Q31" s="21" t="n">
        <x:v>1</x:v>
      </x:c>
      <x:c r="R31" s="21" t="n">
        <x:v>0</x:v>
      </x:c>
      <x:c r="S31" s="21" t="n">
        <x:v>2</x:v>
      </x:c>
      <x:c r="T31" s="21" t="n">
        <x:v>0</x:v>
      </x:c>
      <x:c r="U31" s="21" t="n">
        <x:v>1</x:v>
      </x:c>
      <x:c r="V31" s="21" t="str">
        <x:v>P0_SOURCE_GAP_REMAINS:site-e2a5c15f76f6-W5-H02</x:v>
      </x:c>
      <x:c r="W31" s="21" t="str"/>
      <x:c r="X31" s="21" t="str"/>
      <x:c r="Y31" s="21" t="str">
        <x:v>needs_geospatial_verification</x:v>
      </x:c>
      <x:c r="Z31" s="21" t="str">
        <x:v>BLOCKED</x:v>
      </x:c>
      <x:c r="AA31" s="21" t="n">
        <x:v>0</x:v>
      </x:c>
      <x:c r="AB31" s="21" t="str">
        <x:v>NO_APPROVED_MEDIA_ASSET</x:v>
      </x:c>
      <x:c r="AC31" s="21" t="str">
        <x:v>R9_0_0_UI_BUILT_PENDING_LOCAL_UAT</x:v>
      </x:c>
      <x:c r="AD31" s="21" t="str">
        <x:v>2026-08-02</x:v>
      </x:c>
      <x:c r="AE31" s="21" t="str">
        <x:v>BLOCKED</x:v>
      </x:c>
      <x:c r="AF31" s="21" t="str">
        <x:v>BLOCKED</x:v>
      </x:c>
      <x:c r="AG31" s="20" t="str">
        <x:v>expandedNarrative</x:v>
      </x:c>
      <x:c r="AH31" s="20" t="n">
        <x:v>3</x:v>
      </x:c>
      <x:c r="AI31" s="20" t="n">
        <x:v>1</x:v>
      </x:c>
      <x:c r="AJ31" s="20" t="str">
        <x:v>DEBUG_ONLY</x:v>
      </x:c>
      <x:c r="AK31" s="20" t="str">
        <x:v>BLOCKED</x:v>
      </x:c>
    </x:row>
    <x:row r="32">
      <x:c r="A32" s="21" t="str">
        <x:v>site-014e4c4e4845</x:v>
      </x:c>
      <x:c r="B32" s="21" t="str">
        <x:v>khrb-bwd-014e4c</x:v>
      </x:c>
      <x:c r="C32" s="21" t="str">
        <x:v>عابود التاريخية</x:v>
      </x:c>
      <x:c r="D32" s="21" t="str"/>
      <x:c r="E32" s="21" t="str">
        <x:v>رام الله والبيرة</x:v>
      </x:c>
      <x:c r="F32" s="21" t="str">
        <x:v>عابود</x:v>
      </x:c>
      <x:c r="G32" s="21" t="str">
        <x:v>عنقود بلدة تاريخية ومشهد أثري</x:v>
      </x:c>
      <x:c r="H32" s="21" t="str">
        <x:v>split_required_parent_retained</x:v>
      </x:c>
      <x:c r="I32" s="21" t="str"/>
      <x:c r="J32" s="21" t="str">
        <x:v>GOVERNED_DRAFT_PAGE</x:v>
      </x:c>
      <x:c r="K32" s="21" t="str">
        <x:v>IMPLEMENTED_PENDING_LOCAL_UAT</x:v>
      </x:c>
      <x:c r="L32" s="21" t="n">
        <x:v>2</x:v>
      </x:c>
      <x:c r="M32" s="21" t="n">
        <x:v>3</x:v>
      </x:c>
      <x:c r="N32" s="21" t="str">
        <x:v>W5-AUTH-MOTA-ABOUD-BARBARA-001; W5-AUTH-MOTA-ABOUD-DORMITION-001; W5-AUTH-RIWAQ-50-CENTRES-001</x:v>
      </x:c>
      <x:c r="O32" s="21" t="str">
        <x:v>P0-SRC-MOTA-ABOUD-BARBARA; P0-SRC-MOTA-ABOUD-DORMITION</x:v>
      </x:c>
      <x:c r="P32" s="21" t="n">
        <x:v>3</x:v>
      </x:c>
      <x:c r="Q32" s="21" t="n">
        <x:v>1</x:v>
      </x:c>
      <x:c r="R32" s="21" t="n">
        <x:v>1</x:v>
      </x:c>
      <x:c r="S32" s="21" t="n">
        <x:v>1</x:v>
      </x:c>
      <x:c r="T32" s="21" t="n">
        <x:v>0</x:v>
      </x:c>
      <x:c r="U32" s="21" t="n">
        <x:v>1</x:v>
      </x:c>
      <x:c r="V32" s="21" t="str">
        <x:v>P0_IDENTITY_GIS_INVENTORY_REQUIRED:site-014e4c4e4845-W5-H03</x:v>
      </x:c>
      <x:c r="W32" s="21" t="str"/>
      <x:c r="X32" s="21" t="str"/>
      <x:c r="Y32" s="21" t="str">
        <x:v>needs_geospatial_verification</x:v>
      </x:c>
      <x:c r="Z32" s="21" t="str">
        <x:v>BLOCKED</x:v>
      </x:c>
      <x:c r="AA32" s="21" t="n">
        <x:v>0</x:v>
      </x:c>
      <x:c r="AB32" s="21" t="str">
        <x:v>NO_APPROVED_MEDIA_ASSET</x:v>
      </x:c>
      <x:c r="AC32" s="21" t="str">
        <x:v>R9_0_0_UI_BUILT_PENDING_LOCAL_UAT</x:v>
      </x:c>
      <x:c r="AD32" s="21" t="str">
        <x:v>2026-08-02</x:v>
      </x:c>
      <x:c r="AE32" s="21" t="str">
        <x:v>BLOCKED</x:v>
      </x:c>
      <x:c r="AF32" s="21" t="str">
        <x:v>BLOCKED</x:v>
      </x:c>
      <x:c r="AG32" s="20" t="str">
        <x:v>expandedNarrative</x:v>
      </x:c>
      <x:c r="AH32" s="20" t="n">
        <x:v>3</x:v>
      </x:c>
      <x:c r="AI32" s="20" t="n">
        <x:v>2</x:v>
      </x:c>
      <x:c r="AJ32" s="20" t="str">
        <x:v>DEBUG_ONLY</x:v>
      </x:c>
      <x:c r="AK32" s="20" t="str">
        <x:v>BLOCKED</x:v>
      </x:c>
    </x:row>
    <x:row r="33">
      <x:c r="A33" s="21" t="str">
        <x:v>site-28dd528f5f3a</x:v>
      </x:c>
      <x:c r="B33" s="21" t="str">
        <x:v>dyr-mr-28dd52</x:v>
      </x:c>
      <x:c r="C33" s="21" t="str">
        <x:v>دير عمار</x:v>
      </x:c>
      <x:c r="D33" s="21" t="str"/>
      <x:c r="E33" s="21" t="str">
        <x:v>رام الله والبيرة</x:v>
      </x:c>
      <x:c r="F33" s="21" t="str">
        <x:v>غرب رام الله</x:v>
      </x:c>
      <x:c r="G33" s="21" t="str">
        <x:v>عنقود بلدة تاريخية</x:v>
      </x:c>
      <x:c r="H33" s="21" t="str">
        <x:v>reclassified_to_governed_cluster</x:v>
      </x:c>
      <x:c r="I33" s="21" t="str"/>
      <x:c r="J33" s="21" t="str">
        <x:v>GOVERNED_DRAFT_PAGE</x:v>
      </x:c>
      <x:c r="K33" s="21" t="str">
        <x:v>IMPLEMENTED_PENDING_LOCAL_UAT</x:v>
      </x:c>
      <x:c r="L33" s="21" t="n">
        <x:v>1</x:v>
      </x:c>
      <x:c r="M33" s="21" t="n">
        <x:v>2</x:v>
      </x:c>
      <x:c r="N33" s="21" t="str">
        <x:v>W5-AUTH-RIWAQ-50-CENTRES-001; W5-AUTH-RIWAQ-DEIR-AMMAR-001</x:v>
      </x:c>
      <x:c r="O33" s="21" t="str">
        <x:v>P0-SRC-RIWAQ-DEIR-AMMAR</x:v>
      </x:c>
      <x:c r="P33" s="21" t="n">
        <x:v>3</x:v>
      </x:c>
      <x:c r="Q33" s="21" t="n">
        <x:v>1</x:v>
      </x:c>
      <x:c r="R33" s="21" t="n">
        <x:v>0</x:v>
      </x:c>
      <x:c r="S33" s="21" t="n">
        <x:v>0</x:v>
      </x:c>
      <x:c r="T33" s="21" t="n">
        <x:v>2</x:v>
      </x:c>
      <x:c r="U33" s="21" t="n">
        <x:v>1</x:v>
      </x:c>
      <x:c r="V33" s="21" t="str">
        <x:v>P0_IDENTITY_GIS_INVENTORY_REQUIRED:site-28dd528f5f3a-W5-H03</x:v>
      </x:c>
      <x:c r="W33" s="21" t="str"/>
      <x:c r="X33" s="21" t="str"/>
      <x:c r="Y33" s="21" t="str">
        <x:v>needs_geospatial_verification</x:v>
      </x:c>
      <x:c r="Z33" s="21" t="str">
        <x:v>BLOCKED</x:v>
      </x:c>
      <x:c r="AA33" s="21" t="n">
        <x:v>0</x:v>
      </x:c>
      <x:c r="AB33" s="21" t="str">
        <x:v>NO_APPROVED_MEDIA_ASSET</x:v>
      </x:c>
      <x:c r="AC33" s="21" t="str">
        <x:v>R9_0_0_UI_BUILT_PENDING_LOCAL_UAT</x:v>
      </x:c>
      <x:c r="AD33" s="21" t="str">
        <x:v>2026-08-02</x:v>
      </x:c>
      <x:c r="AE33" s="21" t="str">
        <x:v>BLOCKED</x:v>
      </x:c>
      <x:c r="AF33" s="21" t="str">
        <x:v>BLOCKED</x:v>
      </x:c>
      <x:c r="AG33" s="20" t="str">
        <x:v>catalogSummary</x:v>
      </x:c>
      <x:c r="AH33" s="20" t="n">
        <x:v>0</x:v>
      </x:c>
      <x:c r="AI33" s="20" t="n">
        <x:v>1</x:v>
      </x:c>
      <x:c r="AJ33" s="20" t="str">
        <x:v>DEBUG_ONLY</x:v>
      </x:c>
      <x:c r="AK33" s="20" t="str">
        <x:v>BLOCKED</x:v>
      </x:c>
    </x:row>
    <x:row r="34">
      <x:c r="A34" s="21" t="str">
        <x:v>site-2a3fdab99250</x:v>
      </x:c>
      <x:c r="B34" s="21" t="str">
        <x:v>yn-smy-2a3fda</x:v>
      </x:c>
      <x:c r="C34" s="21" t="str">
        <x:v>عين سامية</x:v>
      </x:c>
      <x:c r="D34" s="21" t="str"/>
      <x:c r="E34" s="21" t="str">
        <x:v>رام الله والبيرة</x:v>
      </x:c>
      <x:c r="F34" s="21" t="str">
        <x:v>كفر مالك</x:v>
      </x:c>
      <x:c r="G34" s="21" t="str">
        <x:v>عنقود مشهد أثري ومائي</x:v>
      </x:c>
      <x:c r="H34" s="21" t="str">
        <x:v>split_required_parent_retained</x:v>
      </x:c>
      <x:c r="I34" s="21" t="str"/>
      <x:c r="J34" s="21" t="str">
        <x:v>GOVERNED_DRAFT_PAGE</x:v>
      </x:c>
      <x:c r="K34" s="21" t="str">
        <x:v>IMPLEMENTED_PENDING_LOCAL_UAT</x:v>
      </x:c>
      <x:c r="L34" s="21" t="n">
        <x:v>2</x:v>
      </x:c>
      <x:c r="M34" s="21" t="n">
        <x:v>3</x:v>
      </x:c>
      <x:c r="N34" s="21" t="str">
        <x:v>W5-ACADEMIC-AIN-SAMIYA-TOMB-204-001; W5-ACADEMIC-CAMBRIDGE-AIN-SAMIYA-001; W5-AUTH-WAFA-TOURIST-TRAILS-001</x:v>
      </x:c>
      <x:c r="O34" s="21" t="str"/>
      <x:c r="P34" s="21" t="n">
        <x:v>3</x:v>
      </x:c>
      <x:c r="Q34" s="21" t="n">
        <x:v>0</x:v>
      </x:c>
      <x:c r="R34" s="21" t="n">
        <x:v>0</x:v>
      </x:c>
      <x:c r="S34" s="21" t="n">
        <x:v>1</x:v>
      </x:c>
      <x:c r="T34" s="21" t="n">
        <x:v>2</x:v>
      </x:c>
      <x:c r="U34" s="21" t="n">
        <x:v>0</x:v>
      </x:c>
      <x:c r="V34" s="21" t="str"/>
      <x:c r="W34" s="21" t="str"/>
      <x:c r="X34" s="21" t="str"/>
      <x:c r="Y34" s="21" t="str">
        <x:v>needs_geospatial_verification</x:v>
      </x:c>
      <x:c r="Z34" s="21" t="str">
        <x:v>BLOCKED</x:v>
      </x:c>
      <x:c r="AA34" s="21" t="n">
        <x:v>0</x:v>
      </x:c>
      <x:c r="AB34" s="21" t="str">
        <x:v>NO_APPROVED_MEDIA_ASSET</x:v>
      </x:c>
      <x:c r="AC34" s="21" t="str">
        <x:v>R9_0_0_UI_BUILT_PENDING_LOCAL_UAT</x:v>
      </x:c>
      <x:c r="AD34" s="21" t="str">
        <x:v>2026-08-02</x:v>
      </x:c>
      <x:c r="AE34" s="21" t="str">
        <x:v>BLOCKED</x:v>
      </x:c>
      <x:c r="AF34" s="21" t="str">
        <x:v>BLOCKED</x:v>
      </x:c>
      <x:c r="AG34" s="20" t="str">
        <x:v>expandedNarrative</x:v>
      </x:c>
      <x:c r="AH34" s="20" t="n">
        <x:v>2</x:v>
      </x:c>
      <x:c r="AI34" s="20" t="n">
        <x:v>1</x:v>
      </x:c>
      <x:c r="AJ34" s="20" t="str">
        <x:v>DEBUG_ONLY</x:v>
      </x:c>
      <x:c r="AK34" s="20" t="str">
        <x:v>BLOCKED</x:v>
      </x:c>
    </x:row>
    <x:row r="35">
      <x:c r="A35" s="21" t="str">
        <x:v>site-78a64ec5ef15</x:v>
      </x:c>
      <x:c r="B35" s="21" t="str">
        <x:v>qsr-lryn-78a64e</x:v>
      </x:c>
      <x:c r="C35" s="21" t="str">
        <x:v>قصر الريان</x:v>
      </x:c>
      <x:c r="D35" s="21" t="str"/>
      <x:c r="E35" s="21" t="str">
        <x:v>رام الله والبيرة</x:v>
      </x:c>
      <x:c r="F35" s="21" t="str">
        <x:v>رام الله</x:v>
      </x:c>
      <x:c r="G35" s="21" t="str">
        <x:v>قصر</x:v>
      </x:c>
      <x:c r="H35" s="21" t="str">
        <x:v>canonical_identity_preserved_no_identity_decision</x:v>
      </x:c>
      <x:c r="I35" s="21" t="str"/>
      <x:c r="J35" s="21" t="str">
        <x:v>LIMITED_RESEARCH_PAGE</x:v>
      </x:c>
      <x:c r="K35" s="21" t="str">
        <x:v>IMPLEMENTED_PENDING_LOCAL_UAT</x:v>
      </x:c>
      <x:c r="L35" s="21" t="n">
        <x:v>0</x:v>
      </x:c>
      <x:c r="M35" s="21" t="n">
        <x:v>0</x:v>
      </x:c>
      <x:c r="N35" s="21" t="str"/>
      <x:c r="O35" s="21" t="str"/>
      <x:c r="P35" s="21" t="n">
        <x:v>4</x:v>
      </x:c>
      <x:c r="Q35" s="21" t="n">
        <x:v>0</x:v>
      </x:c>
      <x:c r="R35" s="21" t="n">
        <x:v>1</x:v>
      </x:c>
      <x:c r="S35" s="21" t="n">
        <x:v>1</x:v>
      </x:c>
      <x:c r="T35" s="21" t="n">
        <x:v>2</x:v>
      </x:c>
      <x:c r="U35" s="21" t="n">
        <x:v>0</x:v>
      </x:c>
      <x:c r="V35" s="21" t="str"/>
      <x:c r="W35" s="21" t="str"/>
      <x:c r="X35" s="21" t="str"/>
      <x:c r="Y35" s="21" t="str">
        <x:v>needs_geospatial_verification</x:v>
      </x:c>
      <x:c r="Z35" s="21" t="str">
        <x:v>BLOCKED</x:v>
      </x:c>
      <x:c r="AA35" s="21" t="n">
        <x:v>0</x:v>
      </x:c>
      <x:c r="AB35" s="21" t="str">
        <x:v>NO_APPROVED_MEDIA_ASSET</x:v>
      </x:c>
      <x:c r="AC35" s="21" t="str">
        <x:v>R9_0_0_UI_BUILT_PENDING_LOCAL_UAT</x:v>
      </x:c>
      <x:c r="AD35" s="21" t="str">
        <x:v>2026-08-02</x:v>
      </x:c>
      <x:c r="AE35" s="21" t="str">
        <x:v>BLOCKED</x:v>
      </x:c>
      <x:c r="AF35" s="21" t="str">
        <x:v>BLOCKED</x:v>
      </x:c>
      <x:c r="AG35" s="20" t="str">
        <x:v>catalogSummary</x:v>
      </x:c>
      <x:c r="AH35" s="20" t="n">
        <x:v>0</x:v>
      </x:c>
      <x:c r="AI35" s="20" t="n">
        <x:v>1</x:v>
      </x:c>
      <x:c r="AJ35" s="20" t="str">
        <x:v>DEBUG_ONLY</x:v>
      </x:c>
      <x:c r="AK35" s="20" t="str">
        <x:v>BLOCKED</x:v>
      </x:c>
    </x:row>
    <x:row r="36">
      <x:c r="A36" s="21" t="str">
        <x:v>site-12fc185d4b0b</x:v>
      </x:c>
      <x:c r="B36" s="21" t="str">
        <x:v>mqm-lnby-slh-12fc18</x:v>
      </x:c>
      <x:c r="C36" s="21" t="str">
        <x:v>مقام النبي صالح</x:v>
      </x:c>
      <x:c r="D36" s="21" t="str"/>
      <x:c r="E36" s="21" t="str">
        <x:v>رام الله والبيرة</x:v>
      </x:c>
      <x:c r="F36" s="21" t="str">
        <x:v>قرب رام الله</x:v>
      </x:c>
      <x:c r="G36" s="21" t="str">
        <x:v>مقام</x:v>
      </x:c>
      <x:c r="H36" s="21" t="str">
        <x:v>preserved_as_complex</x:v>
      </x:c>
      <x:c r="I36" s="21" t="str"/>
      <x:c r="J36" s="21" t="str">
        <x:v>GOVERNED_DRAFT_PAGE</x:v>
      </x:c>
      <x:c r="K36" s="21" t="str">
        <x:v>IMPLEMENTED_PENDING_LOCAL_UAT</x:v>
      </x:c>
      <x:c r="L36" s="21" t="n">
        <x:v>1</x:v>
      </x:c>
      <x:c r="M36" s="21" t="n">
        <x:v>1</x:v>
      </x:c>
      <x:c r="N36" s="21" t="str">
        <x:v>W5-AUTH-RIWAQ-NABI-SALEH-001</x:v>
      </x:c>
      <x:c r="O36" s="21" t="str"/>
      <x:c r="P36" s="21" t="n">
        <x:v>3</x:v>
      </x:c>
      <x:c r="Q36" s="21" t="n">
        <x:v>0</x:v>
      </x:c>
      <x:c r="R36" s="21" t="n">
        <x:v>1</x:v>
      </x:c>
      <x:c r="S36" s="21" t="n">
        <x:v>0</x:v>
      </x:c>
      <x:c r="T36" s="21" t="n">
        <x:v>2</x:v>
      </x:c>
      <x:c r="U36" s="21" t="n">
        <x:v>0</x:v>
      </x:c>
      <x:c r="V36" s="21" t="str"/>
      <x:c r="W36" s="21" t="str"/>
      <x:c r="X36" s="21" t="str"/>
      <x:c r="Y36" s="21" t="str">
        <x:v>needs_geospatial_verification</x:v>
      </x:c>
      <x:c r="Z36" s="21" t="str">
        <x:v>BLOCKED</x:v>
      </x:c>
      <x:c r="AA36" s="21" t="n">
        <x:v>0</x:v>
      </x:c>
      <x:c r="AB36" s="21" t="str">
        <x:v>NO_APPROVED_MEDIA_ASSET</x:v>
      </x:c>
      <x:c r="AC36" s="21" t="str">
        <x:v>R9_0_0_UI_BUILT_PENDING_LOCAL_UAT</x:v>
      </x:c>
      <x:c r="AD36" s="21" t="str">
        <x:v>2026-08-02</x:v>
      </x:c>
      <x:c r="AE36" s="21" t="str">
        <x:v>BLOCKED</x:v>
      </x:c>
      <x:c r="AF36" s="21" t="str">
        <x:v>BLOCKED</x:v>
      </x:c>
      <x:c r="AG36" s="20" t="str">
        <x:v>catalogSummary</x:v>
      </x:c>
      <x:c r="AH36" s="20" t="n">
        <x:v>0</x:v>
      </x:c>
      <x:c r="AI36" s="20" t="n">
        <x:v>1</x:v>
      </x:c>
      <x:c r="AJ36" s="20" t="str">
        <x:v>DEBUG_ONLY</x:v>
      </x:c>
      <x:c r="AK36" s="20" t="str">
        <x:v>BLOCKED</x:v>
      </x:c>
    </x:row>
    <x:row r="37">
      <x:c r="A37" s="21" t="str">
        <x:v>site-a9ac192e20c3</x:v>
      </x:c>
      <x:c r="B37" s="21" t="str">
        <x:v>bld-nbls-lqdym-a9ac19</x:v>
      </x:c>
      <x:c r="C37" s="21" t="str">
        <x:v>بلدة نابلس القديمة</x:v>
      </x:c>
      <x:c r="D37" s="21" t="str"/>
      <x:c r="E37" s="21" t="str">
        <x:v>نابلس</x:v>
      </x:c>
      <x:c r="F37" s="21" t="str">
        <x:v>نابلس</x:v>
      </x:c>
      <x:c r="G37" s="21" t="str">
        <x:v>عنقود عمراني تاريخي</x:v>
      </x:c>
      <x:c r="H37" s="21" t="str">
        <x:v>reclassified_to_governed_cluster</x:v>
      </x:c>
      <x:c r="I37" s="21" t="str"/>
      <x:c r="J37" s="21" t="str">
        <x:v>GOVERNED_DRAFT_PAGE</x:v>
      </x:c>
      <x:c r="K37" s="21" t="str">
        <x:v>IMPLEMENTED_PENDING_LOCAL_UAT</x:v>
      </x:c>
      <x:c r="L37" s="21" t="n">
        <x:v>2</x:v>
      </x:c>
      <x:c r="M37" s="21" t="n">
        <x:v>3</x:v>
      </x:c>
      <x:c r="N37" s="21" t="str">
        <x:v>W4-AUTH-MOTA-NABLUS-OLD-CITY; W4-AUTH-UNESCO-KHAN-WAKALA-2012; W4-AUTH-UNESCO-NABLUS-2012</x:v>
      </x:c>
      <x:c r="O37" s="21" t="str">
        <x:v>P0-SRC-NABLUS-MUNICIPALITY; P0-SRC-TAAWON-NABLUS</x:v>
      </x:c>
      <x:c r="P37" s="21" t="n">
        <x:v>3</x:v>
      </x:c>
      <x:c r="Q37" s="21" t="n">
        <x:v>1</x:v>
      </x:c>
      <x:c r="R37" s="21" t="n">
        <x:v>0</x:v>
      </x:c>
      <x:c r="S37" s="21" t="n">
        <x:v>2</x:v>
      </x:c>
      <x:c r="T37" s="21" t="n">
        <x:v>0</x:v>
      </x:c>
      <x:c r="U37" s="21" t="n">
        <x:v>1</x:v>
      </x:c>
      <x:c r="V37" s="21" t="str">
        <x:v>P0_FIELD_ENGINEERING_REQUIRED:site-a9ac192e20c3-W4-H03</x:v>
      </x:c>
      <x:c r="W37" s="21" t="str"/>
      <x:c r="X37" s="21" t="str">
        <x:v>site-160c60c7b952; site-31c7667ff10e</x:v>
      </x:c>
      <x:c r="Y37" s="21" t="str">
        <x:v>needs_geospatial_verification</x:v>
      </x:c>
      <x:c r="Z37" s="21" t="str">
        <x:v>BLOCKED</x:v>
      </x:c>
      <x:c r="AA37" s="21" t="n">
        <x:v>0</x:v>
      </x:c>
      <x:c r="AB37" s="21" t="str">
        <x:v>NO_APPROVED_MEDIA_ASSET</x:v>
      </x:c>
      <x:c r="AC37" s="21" t="str">
        <x:v>R9_0_0_UI_BUILT_PENDING_LOCAL_UAT</x:v>
      </x:c>
      <x:c r="AD37" s="21" t="str">
        <x:v>2026-08-02</x:v>
      </x:c>
      <x:c r="AE37" s="21" t="str">
        <x:v>BLOCKED</x:v>
      </x:c>
      <x:c r="AF37" s="21" t="str">
        <x:v>BLOCKED</x:v>
      </x:c>
      <x:c r="AG37" s="20" t="str">
        <x:v>expandedNarrative</x:v>
      </x:c>
      <x:c r="AH37" s="20" t="n">
        <x:v>7</x:v>
      </x:c>
      <x:c r="AI37" s="20" t="n">
        <x:v>1</x:v>
      </x:c>
      <x:c r="AJ37" s="20" t="str">
        <x:v>DEBUG_ONLY</x:v>
      </x:c>
      <x:c r="AK37" s="20" t="str">
        <x:v>BLOCKED</x:v>
      </x:c>
    </x:row>
    <x:row r="38">
      <x:c r="A38" s="21" t="str">
        <x:v>site-a429c345ac25</x:v>
      </x:c>
      <x:c r="B38" s="21" t="str">
        <x:v>jm-lnsr-a429c3</x:v>
      </x:c>
      <x:c r="C38" s="21" t="str">
        <x:v>جامع النصر</x:v>
      </x:c>
      <x:c r="D38" s="21" t="str"/>
      <x:c r="E38" s="21" t="str">
        <x:v>نابلس</x:v>
      </x:c>
      <x:c r="F38" s="21" t="str">
        <x:v>نابلس</x:v>
      </x:c>
      <x:c r="G38" s="21" t="str">
        <x:v>مسجد</x:v>
      </x:c>
      <x:c r="H38" s="21" t="str">
        <x:v>canonical_identity_preserved_no_identity_decision</x:v>
      </x:c>
      <x:c r="I38" s="21" t="str"/>
      <x:c r="J38" s="21" t="str">
        <x:v>GOVERNED_DRAFT_PAGE</x:v>
      </x:c>
      <x:c r="K38" s="21" t="str">
        <x:v>IMPLEMENTED_PENDING_LOCAL_UAT</x:v>
      </x:c>
      <x:c r="L38" s="21" t="n">
        <x:v>1</x:v>
      </x:c>
      <x:c r="M38" s="21" t="n">
        <x:v>1</x:v>
      </x:c>
      <x:c r="N38" s="21" t="str">
        <x:v>W4-AUTH-MOTA-NASR-CONTEXT</x:v>
      </x:c>
      <x:c r="O38" s="21" t="str">
        <x:v>P0-SRC-AP-NASR-2025; P0-SRC-NABLUS-MUNICIPALITY</x:v>
      </x:c>
      <x:c r="P38" s="21" t="n">
        <x:v>3</x:v>
      </x:c>
      <x:c r="Q38" s="21" t="n">
        <x:v>1</x:v>
      </x:c>
      <x:c r="R38" s="21" t="n">
        <x:v>0</x:v>
      </x:c>
      <x:c r="S38" s="21" t="n">
        <x:v>1</x:v>
      </x:c>
      <x:c r="T38" s="21" t="n">
        <x:v>1</x:v>
      </x:c>
      <x:c r="U38" s="21" t="n">
        <x:v>1</x:v>
      </x:c>
      <x:c r="V38" s="21" t="str">
        <x:v>P0_PARTIAL_DOCUMENTARY_CLOSURE:site-a429c345ac25-W4-H03</x:v>
      </x:c>
      <x:c r="W38" s="21" t="str"/>
      <x:c r="X38" s="21" t="str"/>
      <x:c r="Y38" s="21" t="str">
        <x:v>needs_geospatial_verification</x:v>
      </x:c>
      <x:c r="Z38" s="21" t="str">
        <x:v>BLOCKED</x:v>
      </x:c>
      <x:c r="AA38" s="21" t="n">
        <x:v>0</x:v>
      </x:c>
      <x:c r="AB38" s="21" t="str">
        <x:v>NO_APPROVED_MEDIA_ASSET</x:v>
      </x:c>
      <x:c r="AC38" s="21" t="str">
        <x:v>R9_0_0_UI_BUILT_PENDING_LOCAL_UAT</x:v>
      </x:c>
      <x:c r="AD38" s="21" t="str">
        <x:v>2026-08-02</x:v>
      </x:c>
      <x:c r="AE38" s="21" t="str">
        <x:v>BLOCKED</x:v>
      </x:c>
      <x:c r="AF38" s="21" t="str">
        <x:v>BLOCKED</x:v>
      </x:c>
      <x:c r="AG38" s="20" t="str">
        <x:v>catalogSummary</x:v>
      </x:c>
      <x:c r="AH38" s="20" t="n">
        <x:v>0</x:v>
      </x:c>
      <x:c r="AI38" s="20" t="n">
        <x:v>1</x:v>
      </x:c>
      <x:c r="AJ38" s="20" t="str">
        <x:v>DEBUG_ONLY</x:v>
      </x:c>
      <x:c r="AK38" s="20" t="str">
        <x:v>BLOCKED</x:v>
      </x:c>
    </x:row>
    <x:row r="39">
      <x:c r="A39" s="21" t="str">
        <x:v>site-b6773e683274</x:v>
      </x:c>
      <x:c r="B39" s="21" t="str">
        <x:v>jbl-jrzym-b6773e</x:v>
      </x:c>
      <x:c r="C39" s="21" t="str">
        <x:v>جبل جرزيم</x:v>
      </x:c>
      <x:c r="D39" s="21" t="str"/>
      <x:c r="E39" s="21" t="str">
        <x:v>نابلس</x:v>
      </x:c>
      <x:c r="F39" s="21" t="str">
        <x:v>نابلس</x:v>
      </x:c>
      <x:c r="G39" s="21" t="str">
        <x:v>موقع مقدس</x:v>
      </x:c>
      <x:c r="H39" s="21" t="str">
        <x:v>canonical_identity_preserved_no_identity_decision</x:v>
      </x:c>
      <x:c r="I39" s="21" t="str"/>
      <x:c r="J39" s="21" t="str">
        <x:v>GOVERNED_DRAFT_PAGE</x:v>
      </x:c>
      <x:c r="K39" s="21" t="str">
        <x:v>IMPLEMENTED_PENDING_LOCAL_UAT</x:v>
      </x:c>
      <x:c r="L39" s="21" t="n">
        <x:v>1</x:v>
      </x:c>
      <x:c r="M39" s="21" t="n">
        <x:v>2</x:v>
      </x:c>
      <x:c r="N39" s="21" t="str">
        <x:v>W4-AUTH-MOTA-NABLUS-OLD-CITY; W4-AUTH-UNESCO-GERIZIM-2012</x:v>
      </x:c>
      <x:c r="O39" s="21" t="str"/>
      <x:c r="P39" s="21" t="n">
        <x:v>2</x:v>
      </x:c>
      <x:c r="Q39" s="21" t="n">
        <x:v>0</x:v>
      </x:c>
      <x:c r="R39" s="21" t="n">
        <x:v>1</x:v>
      </x:c>
      <x:c r="S39" s="21" t="n">
        <x:v>0</x:v>
      </x:c>
      <x:c r="T39" s="21" t="n">
        <x:v>1</x:v>
      </x:c>
      <x:c r="U39" s="21" t="n">
        <x:v>0</x:v>
      </x:c>
      <x:c r="V39" s="21" t="str"/>
      <x:c r="W39" s="21" t="str"/>
      <x:c r="X39" s="21" t="str"/>
      <x:c r="Y39" s="21" t="str">
        <x:v>needs_geospatial_verification</x:v>
      </x:c>
      <x:c r="Z39" s="21" t="str">
        <x:v>BLOCKED</x:v>
      </x:c>
      <x:c r="AA39" s="21" t="n">
        <x:v>0</x:v>
      </x:c>
      <x:c r="AB39" s="21" t="str">
        <x:v>NO_APPROVED_MEDIA_ASSET</x:v>
      </x:c>
      <x:c r="AC39" s="21" t="str">
        <x:v>R9_0_0_UI_BUILT_PENDING_LOCAL_UAT</x:v>
      </x:c>
      <x:c r="AD39" s="21" t="str">
        <x:v>2026-08-02</x:v>
      </x:c>
      <x:c r="AE39" s="21" t="str">
        <x:v>BLOCKED</x:v>
      </x:c>
      <x:c r="AF39" s="21" t="str">
        <x:v>BLOCKED</x:v>
      </x:c>
      <x:c r="AG39" s="20" t="str">
        <x:v>expandedNarrative</x:v>
      </x:c>
      <x:c r="AH39" s="20" t="n">
        <x:v>3</x:v>
      </x:c>
      <x:c r="AI39" s="20" t="n">
        <x:v>1</x:v>
      </x:c>
      <x:c r="AJ39" s="20" t="str">
        <x:v>DEBUG_ONLY</x:v>
      </x:c>
      <x:c r="AK39" s="20" t="str">
        <x:v>BLOCKED</x:v>
      </x:c>
    </x:row>
    <x:row r="40">
      <x:c r="A40" s="21" t="str">
        <x:v>site-160c60c7b952</x:v>
      </x:c>
      <x:c r="B40" s="21" t="str">
        <x:v>hr-lysmyn-160c60</x:v>
      </x:c>
      <x:c r="C40" s="21" t="str">
        <x:v>حارة الياسمينة</x:v>
      </x:c>
      <x:c r="D40" s="21" t="str"/>
      <x:c r="E40" s="21" t="str">
        <x:v>نابلس</x:v>
      </x:c>
      <x:c r="F40" s="21" t="str">
        <x:v>نابلس</x:v>
      </x:c>
      <x:c r="G40" s="21" t="str">
        <x:v>حارة</x:v>
      </x:c>
      <x:c r="H40" s="21" t="str">
        <x:v>component_relation_approved</x:v>
      </x:c>
      <x:c r="I40" s="21" t="str"/>
      <x:c r="J40" s="21" t="str">
        <x:v>GOVERNED_DRAFT_PAGE</x:v>
      </x:c>
      <x:c r="K40" s="21" t="str">
        <x:v>IMPLEMENTED_PENDING_LOCAL_UAT</x:v>
      </x:c>
      <x:c r="L40" s="21" t="n">
        <x:v>2</x:v>
      </x:c>
      <x:c r="M40" s="21" t="n">
        <x:v>1</x:v>
      </x:c>
      <x:c r="N40" s="21" t="str">
        <x:v>W4-AUTH-MOTA-YASMINA-ATOUT</x:v>
      </x:c>
      <x:c r="O40" s="21" t="str">
        <x:v>P0-SRC-MOTA-YASMINA; P0-SRC-TAAWON-NABLUS</x:v>
      </x:c>
      <x:c r="P40" s="21" t="n">
        <x:v>3</x:v>
      </x:c>
      <x:c r="Q40" s="21" t="n">
        <x:v>2</x:v>
      </x:c>
      <x:c r="R40" s="21" t="n">
        <x:v>1</x:v>
      </x:c>
      <x:c r="S40" s="21" t="n">
        <x:v>0</x:v>
      </x:c>
      <x:c r="T40" s="21" t="n">
        <x:v>0</x:v>
      </x:c>
      <x:c r="U40" s="21" t="n">
        <x:v>2</x:v>
      </x:c>
      <x:c r="V40" s="21" t="str">
        <x:v>P0_PARTIAL_DOCUMENTARY_CLOSURE:site-160c60c7b952-W4-H02; P0_IDENTITY_GIS_INVENTORY_REQUIRED:site-160c60c7b952-W4-H01</x:v>
      </x:c>
      <x:c r="W40" s="21" t="str">
        <x:v>site-a9ac192e20c3</x:v>
      </x:c>
      <x:c r="X40" s="21" t="str"/>
      <x:c r="Y40" s="21" t="str">
        <x:v>needs_geospatial_verification</x:v>
      </x:c>
      <x:c r="Z40" s="21" t="str">
        <x:v>BLOCKED</x:v>
      </x:c>
      <x:c r="AA40" s="21" t="n">
        <x:v>0</x:v>
      </x:c>
      <x:c r="AB40" s="21" t="str">
        <x:v>NO_APPROVED_MEDIA_ASSET</x:v>
      </x:c>
      <x:c r="AC40" s="21" t="str">
        <x:v>R9_0_0_UI_BUILT_PENDING_LOCAL_UAT</x:v>
      </x:c>
      <x:c r="AD40" s="21" t="str">
        <x:v>2026-08-02</x:v>
      </x:c>
      <x:c r="AE40" s="21" t="str">
        <x:v>BLOCKED</x:v>
      </x:c>
      <x:c r="AF40" s="21" t="str">
        <x:v>BLOCKED</x:v>
      </x:c>
      <x:c r="AG40" s="20" t="str">
        <x:v>catalogSummary</x:v>
      </x:c>
      <x:c r="AH40" s="20" t="n">
        <x:v>0</x:v>
      </x:c>
      <x:c r="AI40" s="20" t="n">
        <x:v>1</x:v>
      </x:c>
      <x:c r="AJ40" s="20" t="str">
        <x:v>DEBUG_ONLY</x:v>
      </x:c>
      <x:c r="AK40" s="20" t="str">
        <x:v>BLOCKED</x:v>
      </x:c>
    </x:row>
    <x:row r="41">
      <x:c r="A41" s="21" t="str">
        <x:v>site-31c7667ff10e</x:v>
      </x:c>
      <x:c r="B41" s="21" t="str">
        <x:v>khn-ltjr-31c766</x:v>
      </x:c>
      <x:c r="C41" s="21" t="str">
        <x:v>خان التجار</x:v>
      </x:c>
      <x:c r="D41" s="21" t="str"/>
      <x:c r="E41" s="21" t="str">
        <x:v>نابلس</x:v>
      </x:c>
      <x:c r="F41" s="21" t="str">
        <x:v>نابلس</x:v>
      </x:c>
      <x:c r="G41" s="21" t="str">
        <x:v>خان</x:v>
      </x:c>
      <x:c r="H41" s="21" t="str">
        <x:v>component_relation_approved</x:v>
      </x:c>
      <x:c r="I41" s="21" t="str"/>
      <x:c r="J41" s="21" t="str">
        <x:v>GOVERNED_DRAFT_PAGE</x:v>
      </x:c>
      <x:c r="K41" s="21" t="str">
        <x:v>IMPLEMENTED_PENDING_LOCAL_UAT</x:v>
      </x:c>
      <x:c r="L41" s="21" t="n">
        <x:v>1</x:v>
      </x:c>
      <x:c r="M41" s="21" t="n">
        <x:v>1</x:v>
      </x:c>
      <x:c r="N41" s="21" t="str">
        <x:v>W4-AUTH-MOTA-KHAN-TUJJAR</x:v>
      </x:c>
      <x:c r="O41" s="21" t="str"/>
      <x:c r="P41" s="21" t="n">
        <x:v>3</x:v>
      </x:c>
      <x:c r="Q41" s="21" t="n">
        <x:v>0</x:v>
      </x:c>
      <x:c r="R41" s="21" t="n">
        <x:v>0</x:v>
      </x:c>
      <x:c r="S41" s="21" t="n">
        <x:v>3</x:v>
      </x:c>
      <x:c r="T41" s="21" t="n">
        <x:v>0</x:v>
      </x:c>
      <x:c r="U41" s="21" t="n">
        <x:v>0</x:v>
      </x:c>
      <x:c r="V41" s="21" t="str"/>
      <x:c r="W41" s="21" t="str">
        <x:v>site-a9ac192e20c3</x:v>
      </x:c>
      <x:c r="X41" s="21" t="str"/>
      <x:c r="Y41" s="21" t="str">
        <x:v>needs_geospatial_verification</x:v>
      </x:c>
      <x:c r="Z41" s="21" t="str">
        <x:v>BLOCKED</x:v>
      </x:c>
      <x:c r="AA41" s="21" t="n">
        <x:v>0</x:v>
      </x:c>
      <x:c r="AB41" s="21" t="str">
        <x:v>NO_APPROVED_MEDIA_ASSET</x:v>
      </x:c>
      <x:c r="AC41" s="21" t="str">
        <x:v>R9_0_0_UI_BUILT_PENDING_LOCAL_UAT</x:v>
      </x:c>
      <x:c r="AD41" s="21" t="str">
        <x:v>2026-08-02</x:v>
      </x:c>
      <x:c r="AE41" s="21" t="str">
        <x:v>BLOCKED</x:v>
      </x:c>
      <x:c r="AF41" s="21" t="str">
        <x:v>BLOCKED</x:v>
      </x:c>
      <x:c r="AG41" s="20" t="str">
        <x:v>catalogSummary</x:v>
      </x:c>
      <x:c r="AH41" s="20" t="n">
        <x:v>0</x:v>
      </x:c>
      <x:c r="AI41" s="20" t="n">
        <x:v>1</x:v>
      </x:c>
      <x:c r="AJ41" s="20" t="str">
        <x:v>DEBUG_ONLY</x:v>
      </x:c>
      <x:c r="AK41" s="20" t="str">
        <x:v>BLOCKED</x:v>
      </x:c>
    </x:row>
    <x:row r="42">
      <x:c r="A42" s="21" t="str">
        <x:v>site-6f6afe87f969</x:v>
      </x:c>
      <x:c r="B42" s="21" t="str">
        <x:v>sbsty-shmrwn-6f6afe</x:v>
      </x:c>
      <x:c r="C42" s="21" t="str">
        <x:v>سبسطية (شمرون)</x:v>
      </x:c>
      <x:c r="D42" s="21" t="str">
        <x:v>Sebastia</x:v>
      </x:c>
      <x:c r="E42" s="21" t="str">
        <x:v>نابلس</x:v>
      </x:c>
      <x:c r="F42" s="21" t="str">
        <x:v>سبسطية</x:v>
      </x:c>
      <x:c r="G42" s="21" t="str">
        <x:v>مدينة أثرية</x:v>
      </x:c>
      <x:c r="H42" s="21" t="str">
        <x:v>canonical_identity_preserved_no_identity_decision</x:v>
      </x:c>
      <x:c r="I42" s="21" t="str"/>
      <x:c r="J42" s="21" t="str">
        <x:v>GOVERNED_DRAFT_PAGE</x:v>
      </x:c>
      <x:c r="K42" s="21" t="str">
        <x:v>IMPLEMENTED_PENDING_LOCAL_UAT</x:v>
      </x:c>
      <x:c r="L42" s="21" t="n">
        <x:v>3</x:v>
      </x:c>
      <x:c r="M42" s="21" t="n">
        <x:v>1</x:v>
      </x:c>
      <x:c r="N42" s="21" t="str">
        <x:v>AUTH-UNESCO-SEBASTIA-001</x:v>
      </x:c>
      <x:c r="O42" s="21" t="str"/>
      <x:c r="P42" s="21" t="n">
        <x:v>0</x:v>
      </x:c>
      <x:c r="Q42" s="21" t="n">
        <x:v>0</x:v>
      </x:c>
      <x:c r="R42" s="21" t="n">
        <x:v>0</x:v>
      </x:c>
      <x:c r="S42" s="21" t="n">
        <x:v>0</x:v>
      </x:c>
      <x:c r="T42" s="21" t="n">
        <x:v>0</x:v>
      </x:c>
      <x:c r="U42" s="21" t="n">
        <x:v>0</x:v>
      </x:c>
      <x:c r="V42" s="21" t="str"/>
      <x:c r="W42" s="21" t="str"/>
      <x:c r="X42" s="21" t="str">
        <x:v>site-fe1e2a1605b5</x:v>
      </x:c>
      <x:c r="Y42" s="21" t="str">
        <x:v>available_for_review</x:v>
      </x:c>
      <x:c r="Z42" s="21" t="str">
        <x:v>BLOCKED</x:v>
      </x:c>
      <x:c r="AA42" s="21" t="n">
        <x:v>0</x:v>
      </x:c>
      <x:c r="AB42" s="21" t="str">
        <x:v>NO_APPROVED_MEDIA_ASSET</x:v>
      </x:c>
      <x:c r="AC42" s="21" t="str">
        <x:v>R9_0_0_UI_BUILT_PENDING_LOCAL_UAT</x:v>
      </x:c>
      <x:c r="AD42" s="21" t="str">
        <x:v>2026-08-02</x:v>
      </x:c>
      <x:c r="AE42" s="21" t="str">
        <x:v>BLOCKED</x:v>
      </x:c>
      <x:c r="AF42" s="21" t="str">
        <x:v>BLOCKED</x:v>
      </x:c>
      <x:c r="AG42" s="20" t="str">
        <x:v>expandedNarrative</x:v>
      </x:c>
      <x:c r="AH42" s="20" t="n">
        <x:v>8</x:v>
      </x:c>
      <x:c r="AI42" s="20" t="n">
        <x:v>2</x:v>
      </x:c>
      <x:c r="AJ42" s="20" t="str">
        <x:v>DEBUG_ONLY</x:v>
      </x:c>
      <x:c r="AK42" s="20" t="str">
        <x:v>BLOCKED</x:v>
      </x:c>
    </x:row>
    <x:row r="43">
      <x:c r="A43" s="21" t="str">
        <x:v>site-d00341226494</x:v>
      </x:c>
      <x:c r="B43" s="21" t="str">
        <x:v>mqm-lnby-sh-yb-d00341</x:v>
      </x:c>
      <x:c r="C43" s="21" t="str">
        <x:v>مقام النبي شعيب</x:v>
      </x:c>
      <x:c r="D43" s="21" t="str"/>
      <x:c r="E43" s="21" t="str">
        <x:v>نابلس</x:v>
      </x:c>
      <x:c r="F43" s="21" t="str">
        <x:v>قرب نابلس (سنجل)</x:v>
      </x:c>
      <x:c r="G43" s="21" t="str">
        <x:v>مقام</x:v>
      </x:c>
      <x:c r="H43" s="21" t="str">
        <x:v>unresolved_identity_hold</x:v>
      </x:c>
      <x:c r="I43" s="21" t="str">
        <x:v>blocked_pending_dedicated_source</x:v>
      </x:c>
      <x:c r="J43" s="21" t="str">
        <x:v>LIMITED_RESEARCH_PAGE</x:v>
      </x:c>
      <x:c r="K43" s="21" t="str">
        <x:v>IMPLEMENTED_PENDING_LOCAL_UAT</x:v>
      </x:c>
      <x:c r="L43" s="21" t="n">
        <x:v>0</x:v>
      </x:c>
      <x:c r="M43" s="21" t="n">
        <x:v>0</x:v>
      </x:c>
      <x:c r="N43" s="21" t="str"/>
      <x:c r="O43" s="21" t="str">
        <x:v>P0-SRC-PCBS-SINJIL</x:v>
      </x:c>
      <x:c r="P43" s="21" t="n">
        <x:v>4</x:v>
      </x:c>
      <x:c r="Q43" s="21" t="n">
        <x:v>2</x:v>
      </x:c>
      <x:c r="R43" s="21" t="n">
        <x:v>1</x:v>
      </x:c>
      <x:c r="S43" s="21" t="n">
        <x:v>1</x:v>
      </x:c>
      <x:c r="T43" s="21" t="n">
        <x:v>0</x:v>
      </x:c>
      <x:c r="U43" s="21" t="n">
        <x:v>2</x:v>
      </x:c>
      <x:c r="V43" s="21" t="str">
        <x:v>P0_CLOSED_CORRECTIVE_FINDING:site-d00341226494-W4-H01; P0_SOURCE_GAP_REMAINS:site-d00341226494-W4-H02</x:v>
      </x:c>
      <x:c r="W43" s="21" t="str"/>
      <x:c r="X43" s="21" t="str"/>
      <x:c r="Y43" s="21" t="str">
        <x:v>needs_geospatial_verification</x:v>
      </x:c>
      <x:c r="Z43" s="21" t="str">
        <x:v>BLOCKED</x:v>
      </x:c>
      <x:c r="AA43" s="21" t="n">
        <x:v>0</x:v>
      </x:c>
      <x:c r="AB43" s="21" t="str">
        <x:v>NO_APPROVED_MEDIA_ASSET</x:v>
      </x:c>
      <x:c r="AC43" s="21" t="str">
        <x:v>R9_0_0_UI_BUILT_PENDING_LOCAL_UAT</x:v>
      </x:c>
      <x:c r="AD43" s="21" t="str">
        <x:v>2026-08-02</x:v>
      </x:c>
      <x:c r="AE43" s="21" t="str">
        <x:v>BLOCKED</x:v>
      </x:c>
      <x:c r="AF43" s="21" t="str">
        <x:v>BLOCKED</x:v>
      </x:c>
      <x:c r="AG43" s="20" t="str">
        <x:v>catalogSummary</x:v>
      </x:c>
      <x:c r="AH43" s="20" t="n">
        <x:v>0</x:v>
      </x:c>
      <x:c r="AI43" s="20" t="n">
        <x:v>1</x:v>
      </x:c>
      <x:c r="AJ43" s="20" t="str">
        <x:v>DEBUG_ONLY</x:v>
      </x:c>
      <x:c r="AK43" s="20" t="str">
        <x:v>BLOCKED</x:v>
      </x:c>
    </x:row>
    <x:row r="44">
      <x:c r="A44" s="21" t="str">
        <x:v>site-fb9a817ec94a</x:v>
      </x:c>
      <x:c r="B44" s="21" t="str">
        <x:v>mqm-lnby-ywsf-blt-fb9a81</x:v>
      </x:c>
      <x:c r="C44" s="21" t="str">
        <x:v>مقام النبي يوسف (بلاطة)</x:v>
      </x:c>
      <x:c r="D44" s="21" t="str"/>
      <x:c r="E44" s="21" t="str">
        <x:v>نابلس</x:v>
      </x:c>
      <x:c r="F44" s="21" t="str">
        <x:v>بلاطة</x:v>
      </x:c>
      <x:c r="G44" s="21" t="str">
        <x:v>مقام</x:v>
      </x:c>
      <x:c r="H44" s="21" t="str">
        <x:v>canonical_identity_preserved_no_identity_decision</x:v>
      </x:c>
      <x:c r="I44" s="21" t="str"/>
      <x:c r="J44" s="21" t="str">
        <x:v>GOVERNED_DRAFT_PAGE</x:v>
      </x:c>
      <x:c r="K44" s="21" t="str">
        <x:v>IMPLEMENTED_PENDING_LOCAL_UAT</x:v>
      </x:c>
      <x:c r="L44" s="21" t="n">
        <x:v>2</x:v>
      </x:c>
      <x:c r="M44" s="21" t="n">
        <x:v>1</x:v>
      </x:c>
      <x:c r="N44" s="21" t="str">
        <x:v>W4-ACADEMIC-JQ-MAQAM-YUSUF-2023</x:v>
      </x:c>
      <x:c r="O44" s="21" t="str"/>
      <x:c r="P44" s="21" t="n">
        <x:v>3</x:v>
      </x:c>
      <x:c r="Q44" s="21" t="n">
        <x:v>0</x:v>
      </x:c>
      <x:c r="R44" s="21" t="n">
        <x:v>1</x:v>
      </x:c>
      <x:c r="S44" s="21" t="n">
        <x:v>0</x:v>
      </x:c>
      <x:c r="T44" s="21" t="n">
        <x:v>2</x:v>
      </x:c>
      <x:c r="U44" s="21" t="n">
        <x:v>0</x:v>
      </x:c>
      <x:c r="V44" s="21" t="str"/>
      <x:c r="W44" s="21" t="str"/>
      <x:c r="X44" s="21" t="str"/>
      <x:c r="Y44" s="21" t="str">
        <x:v>needs_geospatial_verification</x:v>
      </x:c>
      <x:c r="Z44" s="21" t="str">
        <x:v>BLOCKED</x:v>
      </x:c>
      <x:c r="AA44" s="21" t="n">
        <x:v>0</x:v>
      </x:c>
      <x:c r="AB44" s="21" t="str">
        <x:v>NO_APPROVED_MEDIA_ASSET</x:v>
      </x:c>
      <x:c r="AC44" s="21" t="str">
        <x:v>R9_0_0_UI_BUILT_PENDING_LOCAL_UAT</x:v>
      </x:c>
      <x:c r="AD44" s="21" t="str">
        <x:v>2026-08-02</x:v>
      </x:c>
      <x:c r="AE44" s="21" t="str">
        <x:v>BLOCKED</x:v>
      </x:c>
      <x:c r="AF44" s="21" t="str">
        <x:v>BLOCKED</x:v>
      </x:c>
      <x:c r="AG44" s="20" t="str">
        <x:v>expandedNarrative</x:v>
      </x:c>
      <x:c r="AH44" s="20" t="n">
        <x:v>4</x:v>
      </x:c>
      <x:c r="AI44" s="20" t="n">
        <x:v>2</x:v>
      </x:c>
      <x:c r="AJ44" s="20" t="str">
        <x:v>DEBUG_ONLY</x:v>
      </x:c>
      <x:c r="AK44" s="20" t="str">
        <x:v>BLOCKED</x:v>
      </x:c>
    </x:row>
    <x:row r="45">
      <x:c r="A45" s="21" t="str">
        <x:v>site-f2a7fbbda5a5</x:v>
      </x:c>
      <x:c r="B45" s="21" t="str">
        <x:v>bld-jnyn-lqdym-f2a7fb</x:v>
      </x:c>
      <x:c r="C45" s="21" t="str">
        <x:v>بلدة جنين القديمة</x:v>
      </x:c>
      <x:c r="D45" s="21" t="str"/>
      <x:c r="E45" s="21" t="str">
        <x:v>جنين</x:v>
      </x:c>
      <x:c r="F45" s="21" t="str">
        <x:v>جنين</x:v>
      </x:c>
      <x:c r="G45" s="21" t="str">
        <x:v>عنقود عمراني تاريخي مؤقت</x:v>
      </x:c>
      <x:c r="H45" s="21" t="str">
        <x:v>reclassified_to_governed_cluster</x:v>
      </x:c>
      <x:c r="I45" s="21" t="str"/>
      <x:c r="J45" s="21" t="str">
        <x:v>GOVERNED_DRAFT_PAGE</x:v>
      </x:c>
      <x:c r="K45" s="21" t="str">
        <x:v>IMPLEMENTED_PENDING_LOCAL_UAT</x:v>
      </x:c>
      <x:c r="L45" s="21" t="n">
        <x:v>2</x:v>
      </x:c>
      <x:c r="M45" s="21" t="n">
        <x:v>2</x:v>
      </x:c>
      <x:c r="N45" s="21" t="str">
        <x:v>W4-AUTH-MOTA-JENIN-FATIMA-KHATUN; W4-AUTH-MOTA-JENIN-SIBAT</x:v>
      </x:c>
      <x:c r="O45" s="21" t="str"/>
      <x:c r="P45" s="21" t="n">
        <x:v>3</x:v>
      </x:c>
      <x:c r="Q45" s="21" t="n">
        <x:v>1</x:v>
      </x:c>
      <x:c r="R45" s="21" t="n">
        <x:v>1</x:v>
      </x:c>
      <x:c r="S45" s="21" t="n">
        <x:v>1</x:v>
      </x:c>
      <x:c r="T45" s="21" t="n">
        <x:v>0</x:v>
      </x:c>
      <x:c r="U45" s="21" t="n">
        <x:v>1</x:v>
      </x:c>
      <x:c r="V45" s="21" t="str">
        <x:v>P0_FIELD_ENGINEERING_REQUIRED:site-f2a7fbbda5a5-W4-H03</x:v>
      </x:c>
      <x:c r="W45" s="21" t="str"/>
      <x:c r="X45" s="21" t="str"/>
      <x:c r="Y45" s="21" t="str">
        <x:v>needs_geospatial_verification</x:v>
      </x:c>
      <x:c r="Z45" s="21" t="str">
        <x:v>BLOCKED</x:v>
      </x:c>
      <x:c r="AA45" s="21" t="n">
        <x:v>0</x:v>
      </x:c>
      <x:c r="AB45" s="21" t="str">
        <x:v>NO_APPROVED_MEDIA_ASSET</x:v>
      </x:c>
      <x:c r="AC45" s="21" t="str">
        <x:v>R9_0_0_UI_BUILT_PENDING_LOCAL_UAT</x:v>
      </x:c>
      <x:c r="AD45" s="21" t="str">
        <x:v>2026-08-02</x:v>
      </x:c>
      <x:c r="AE45" s="21" t="str">
        <x:v>BLOCKED</x:v>
      </x:c>
      <x:c r="AF45" s="21" t="str">
        <x:v>BLOCKED</x:v>
      </x:c>
      <x:c r="AG45" s="20" t="str">
        <x:v>catalogSummary</x:v>
      </x:c>
      <x:c r="AH45" s="20" t="n">
        <x:v>0</x:v>
      </x:c>
      <x:c r="AI45" s="20" t="n">
        <x:v>1</x:v>
      </x:c>
      <x:c r="AJ45" s="20" t="str">
        <x:v>DEBUG_ONLY</x:v>
      </x:c>
      <x:c r="AK45" s="20" t="str">
        <x:v>BLOCKED</x:v>
      </x:c>
    </x:row>
    <x:row r="46">
      <x:c r="A46" s="21" t="str">
        <x:v>site-0ae63f2b6a17</x:v>
      </x:c>
      <x:c r="B46" s="21" t="str">
        <x:v>tl-jnyn-0ae63f</x:v>
      </x:c>
      <x:c r="C46" s="21" t="str">
        <x:v>تل جنين</x:v>
      </x:c>
      <x:c r="D46" s="21" t="str"/>
      <x:c r="E46" s="21" t="str">
        <x:v>جنين</x:v>
      </x:c>
      <x:c r="F46" s="21" t="str">
        <x:v>جنين</x:v>
      </x:c>
      <x:c r="G46" s="21" t="str">
        <x:v>تل أثري</x:v>
      </x:c>
      <x:c r="H46" s="21" t="str">
        <x:v>canonical_identity_preserved_no_identity_decision</x:v>
      </x:c>
      <x:c r="I46" s="21" t="str"/>
      <x:c r="J46" s="21" t="str">
        <x:v>LIMITED_RESEARCH_PAGE</x:v>
      </x:c>
      <x:c r="K46" s="21" t="str">
        <x:v>IMPLEMENTED_PENDING_LOCAL_UAT</x:v>
      </x:c>
      <x:c r="L46" s="21" t="n">
        <x:v>0</x:v>
      </x:c>
      <x:c r="M46" s="21" t="n">
        <x:v>0</x:v>
      </x:c>
      <x:c r="N46" s="21" t="str"/>
      <x:c r="O46" s="21" t="str"/>
      <x:c r="P46" s="21" t="n">
        <x:v>4</x:v>
      </x:c>
      <x:c r="Q46" s="21" t="n">
        <x:v>0</x:v>
      </x:c>
      <x:c r="R46" s="21" t="n">
        <x:v>0</x:v>
      </x:c>
      <x:c r="S46" s="21" t="n">
        <x:v>3</x:v>
      </x:c>
      <x:c r="T46" s="21" t="n">
        <x:v>1</x:v>
      </x:c>
      <x:c r="U46" s="21" t="n">
        <x:v>0</x:v>
      </x:c>
      <x:c r="V46" s="21" t="str"/>
      <x:c r="W46" s="21" t="str"/>
      <x:c r="X46" s="21" t="str"/>
      <x:c r="Y46" s="21" t="str">
        <x:v>needs_geospatial_verification</x:v>
      </x:c>
      <x:c r="Z46" s="21" t="str">
        <x:v>BLOCKED</x:v>
      </x:c>
      <x:c r="AA46" s="21" t="n">
        <x:v>0</x:v>
      </x:c>
      <x:c r="AB46" s="21" t="str">
        <x:v>NO_APPROVED_MEDIA_ASSET</x:v>
      </x:c>
      <x:c r="AC46" s="21" t="str">
        <x:v>R9_0_0_UI_BUILT_PENDING_LOCAL_UAT</x:v>
      </x:c>
      <x:c r="AD46" s="21" t="str">
        <x:v>2026-08-02</x:v>
      </x:c>
      <x:c r="AE46" s="21" t="str">
        <x:v>BLOCKED</x:v>
      </x:c>
      <x:c r="AF46" s="21" t="str">
        <x:v>BLOCKED</x:v>
      </x:c>
      <x:c r="AG46" s="20" t="str">
        <x:v>catalogSummary</x:v>
      </x:c>
      <x:c r="AH46" s="20" t="n">
        <x:v>0</x:v>
      </x:c>
      <x:c r="AI46" s="20" t="n">
        <x:v>1</x:v>
      </x:c>
      <x:c r="AJ46" s="20" t="str">
        <x:v>DEBUG_ONLY</x:v>
      </x:c>
      <x:c r="AK46" s="20" t="str">
        <x:v>BLOCKED</x:v>
      </x:c>
    </x:row>
    <x:row r="47">
      <x:c r="A47" s="21" t="str">
        <x:v>site-fe1e2a1605b5</x:v>
      </x:c>
      <x:c r="B47" s="21" t="str">
        <x:v>qsr-lkyd-fe1e2a</x:v>
      </x:c>
      <x:c r="C47" s="21" t="str">
        <x:v>قصر الكايد</x:v>
      </x:c>
      <x:c r="D47" s="21" t="str"/>
      <x:c r="E47" s="21" t="str">
        <x:v>نابلس</x:v>
      </x:c>
      <x:c r="F47" s="21" t="str">
        <x:v>سبسطية</x:v>
      </x:c>
      <x:c r="G47" s="21" t="str">
        <x:v>قصر</x:v>
      </x:c>
      <x:c r="H47" s="21" t="str">
        <x:v>locality_reassigned_and_cluster_linked</x:v>
      </x:c>
      <x:c r="I47" s="21" t="str"/>
      <x:c r="J47" s="21" t="str">
        <x:v>GOVERNED_DRAFT_PAGE</x:v>
      </x:c>
      <x:c r="K47" s="21" t="str">
        <x:v>IMPLEMENTED_PENDING_LOCAL_UAT</x:v>
      </x:c>
      <x:c r="L47" s="21" t="n">
        <x:v>1</x:v>
      </x:c>
      <x:c r="M47" s="21" t="n">
        <x:v>1</x:v>
      </x:c>
      <x:c r="N47" s="21" t="str">
        <x:v>W4-AUTH-MOTA-KAYED-SEBASTIA</x:v>
      </x:c>
      <x:c r="O47" s="21" t="str"/>
      <x:c r="P47" s="21" t="n">
        <x:v>2</x:v>
      </x:c>
      <x:c r="Q47" s="21" t="n">
        <x:v>0</x:v>
      </x:c>
      <x:c r="R47" s="21" t="n">
        <x:v>0</x:v>
      </x:c>
      <x:c r="S47" s="21" t="n">
        <x:v>0</x:v>
      </x:c>
      <x:c r="T47" s="21" t="n">
        <x:v>2</x:v>
      </x:c>
      <x:c r="U47" s="21" t="n">
        <x:v>0</x:v>
      </x:c>
      <x:c r="V47" s="21" t="str"/>
      <x:c r="W47" s="21" t="str">
        <x:v>site-6f6afe87f969</x:v>
      </x:c>
      <x:c r="X47" s="21" t="str"/>
      <x:c r="Y47" s="21" t="str">
        <x:v>needs_geospatial_verification</x:v>
      </x:c>
      <x:c r="Z47" s="21" t="str">
        <x:v>BLOCKED</x:v>
      </x:c>
      <x:c r="AA47" s="21" t="n">
        <x:v>0</x:v>
      </x:c>
      <x:c r="AB47" s="21" t="str">
        <x:v>NO_APPROVED_MEDIA_ASSET</x:v>
      </x:c>
      <x:c r="AC47" s="21" t="str">
        <x:v>R9_0_0_UI_BUILT_PENDING_LOCAL_UAT</x:v>
      </x:c>
      <x:c r="AD47" s="21" t="str">
        <x:v>2026-08-02</x:v>
      </x:c>
      <x:c r="AE47" s="21" t="str">
        <x:v>BLOCKED</x:v>
      </x:c>
      <x:c r="AF47" s="21" t="str">
        <x:v>BLOCKED</x:v>
      </x:c>
      <x:c r="AG47" s="20" t="str">
        <x:v>expandedNarrative</x:v>
      </x:c>
      <x:c r="AH47" s="20" t="n">
        <x:v>5</x:v>
      </x:c>
      <x:c r="AI47" s="20" t="n">
        <x:v>1</x:v>
      </x:c>
      <x:c r="AJ47" s="20" t="str">
        <x:v>DEBUG_ONLY</x:v>
      </x:c>
      <x:c r="AK47" s="20" t="str">
        <x:v>BLOCKED</x:v>
      </x:c>
    </x:row>
    <x:row r="48">
      <x:c r="A48" s="21" t="str">
        <x:v>site-2c1f6b6dbd51</x:v>
      </x:c>
      <x:c r="B48" s="21" t="str">
        <x:v>knys-brqyn-2c1f6b</x:v>
      </x:c>
      <x:c r="C48" s="21" t="str">
        <x:v>كنيسة برقين</x:v>
      </x:c>
      <x:c r="D48" s="21" t="str"/>
      <x:c r="E48" s="21" t="str">
        <x:v>جنين</x:v>
      </x:c>
      <x:c r="F48" s="21" t="str">
        <x:v>برقين</x:v>
      </x:c>
      <x:c r="G48" s="21" t="str">
        <x:v>كنيسة</x:v>
      </x:c>
      <x:c r="H48" s="21" t="str">
        <x:v>canonical_identity_preserved_no_identity_decision</x:v>
      </x:c>
      <x:c r="I48" s="21" t="str"/>
      <x:c r="J48" s="21" t="str">
        <x:v>GOVERNED_DRAFT_PAGE</x:v>
      </x:c>
      <x:c r="K48" s="21" t="str">
        <x:v>IMPLEMENTED_PENDING_LOCAL_UAT</x:v>
      </x:c>
      <x:c r="L48" s="21" t="n">
        <x:v>1</x:v>
      </x:c>
      <x:c r="M48" s="21" t="n">
        <x:v>1</x:v>
      </x:c>
      <x:c r="N48" s="21" t="str">
        <x:v>W4-AUTH-MOTA-BURQIN</x:v>
      </x:c>
      <x:c r="O48" s="21" t="str"/>
      <x:c r="P48" s="21" t="n">
        <x:v>3</x:v>
      </x:c>
      <x:c r="Q48" s="21" t="n">
        <x:v>0</x:v>
      </x:c>
      <x:c r="R48" s="21" t="n">
        <x:v>0</x:v>
      </x:c>
      <x:c r="S48" s="21" t="n">
        <x:v>0</x:v>
      </x:c>
      <x:c r="T48" s="21" t="n">
        <x:v>3</x:v>
      </x:c>
      <x:c r="U48" s="21" t="n">
        <x:v>0</x:v>
      </x:c>
      <x:c r="V48" s="21" t="str"/>
      <x:c r="W48" s="21" t="str"/>
      <x:c r="X48" s="21" t="str"/>
      <x:c r="Y48" s="21" t="str">
        <x:v>needs_geospatial_verification</x:v>
      </x:c>
      <x:c r="Z48" s="21" t="str">
        <x:v>BLOCKED</x:v>
      </x:c>
      <x:c r="AA48" s="21" t="n">
        <x:v>0</x:v>
      </x:c>
      <x:c r="AB48" s="21" t="str">
        <x:v>NO_APPROVED_MEDIA_ASSET</x:v>
      </x:c>
      <x:c r="AC48" s="21" t="str">
        <x:v>R9_0_0_UI_BUILT_PENDING_LOCAL_UAT</x:v>
      </x:c>
      <x:c r="AD48" s="21" t="str">
        <x:v>2026-08-02</x:v>
      </x:c>
      <x:c r="AE48" s="21" t="str">
        <x:v>BLOCKED</x:v>
      </x:c>
      <x:c r="AF48" s="21" t="str">
        <x:v>BLOCKED</x:v>
      </x:c>
      <x:c r="AG48" s="20" t="str">
        <x:v>expandedNarrative</x:v>
      </x:c>
      <x:c r="AH48" s="20" t="n">
        <x:v>4</x:v>
      </x:c>
      <x:c r="AI48" s="20" t="n">
        <x:v>1</x:v>
      </x:c>
      <x:c r="AJ48" s="20" t="str">
        <x:v>DEBUG_ONLY</x:v>
      </x:c>
      <x:c r="AK48" s="20" t="str">
        <x:v>BLOCKED</x:v>
      </x:c>
    </x:row>
    <x:row r="49">
      <x:c r="A49" s="21" t="str">
        <x:v>site-fc3cde18193c</x:v>
      </x:c>
      <x:c r="B49" s="21" t="str">
        <x:v>mqm-lshykh-hsn-fc3cde</x:v>
      </x:c>
      <x:c r="C49" s="21" t="str">
        <x:v>مقام الشيخ حسن</x:v>
      </x:c>
      <x:c r="D49" s="21" t="str"/>
      <x:c r="E49" s="21" t="str">
        <x:v>جنين</x:v>
      </x:c>
      <x:c r="F49" s="21" t="str">
        <x:v>جنين</x:v>
      </x:c>
      <x:c r="G49" s="21" t="str">
        <x:v>مقام</x:v>
      </x:c>
      <x:c r="H49" s="21" t="str">
        <x:v>canonical_identity_preserved_no_identity_decision</x:v>
      </x:c>
      <x:c r="I49" s="21" t="str"/>
      <x:c r="J49" s="21" t="str">
        <x:v>LIMITED_RESEARCH_PAGE</x:v>
      </x:c>
      <x:c r="K49" s="21" t="str">
        <x:v>IMPLEMENTED_PENDING_LOCAL_UAT</x:v>
      </x:c>
      <x:c r="L49" s="21" t="n">
        <x:v>0</x:v>
      </x:c>
      <x:c r="M49" s="21" t="n">
        <x:v>0</x:v>
      </x:c>
      <x:c r="N49" s="21" t="str"/>
      <x:c r="O49" s="21" t="str"/>
      <x:c r="P49" s="21" t="n">
        <x:v>4</x:v>
      </x:c>
      <x:c r="Q49" s="21" t="n">
        <x:v>0</x:v>
      </x:c>
      <x:c r="R49" s="21" t="n">
        <x:v>1</x:v>
      </x:c>
      <x:c r="S49" s="21" t="n">
        <x:v>2</x:v>
      </x:c>
      <x:c r="T49" s="21" t="n">
        <x:v>1</x:v>
      </x:c>
      <x:c r="U49" s="21" t="n">
        <x:v>0</x:v>
      </x:c>
      <x:c r="V49" s="21" t="str"/>
      <x:c r="W49" s="21" t="str"/>
      <x:c r="X49" s="21" t="str"/>
      <x:c r="Y49" s="21" t="str">
        <x:v>needs_geospatial_verification</x:v>
      </x:c>
      <x:c r="Z49" s="21" t="str">
        <x:v>BLOCKED</x:v>
      </x:c>
      <x:c r="AA49" s="21" t="n">
        <x:v>0</x:v>
      </x:c>
      <x:c r="AB49" s="21" t="str">
        <x:v>NO_APPROVED_MEDIA_ASSET</x:v>
      </x:c>
      <x:c r="AC49" s="21" t="str">
        <x:v>R9_0_0_UI_BUILT_PENDING_LOCAL_UAT</x:v>
      </x:c>
      <x:c r="AD49" s="21" t="str">
        <x:v>2026-08-02</x:v>
      </x:c>
      <x:c r="AE49" s="21" t="str">
        <x:v>BLOCKED</x:v>
      </x:c>
      <x:c r="AF49" s="21" t="str">
        <x:v>BLOCKED</x:v>
      </x:c>
      <x:c r="AG49" s="20" t="str">
        <x:v>catalogSummary</x:v>
      </x:c>
      <x:c r="AH49" s="20" t="n">
        <x:v>0</x:v>
      </x:c>
      <x:c r="AI49" s="20" t="n">
        <x:v>1</x:v>
      </x:c>
      <x:c r="AJ49" s="20" t="str">
        <x:v>DEBUG_ONLY</x:v>
      </x:c>
      <x:c r="AK49" s="20" t="str">
        <x:v>BLOCKED</x:v>
      </x:c>
    </x:row>
    <x:row r="50">
      <x:c r="A50" s="21" t="str">
        <x:v>site-a28891855f38</x:v>
      </x:c>
      <x:c r="B50" s="21" t="str">
        <x:v>bld-dyr-lgswn-a28891</x:v>
      </x:c>
      <x:c r="C50" s="21" t="str">
        <x:v>بلدة دير الغصون</x:v>
      </x:c>
      <x:c r="D50" s="21" t="str"/>
      <x:c r="E50" s="21" t="str">
        <x:v>طولكرم</x:v>
      </x:c>
      <x:c r="F50" s="21" t="str">
        <x:v>دير الغصون</x:v>
      </x:c>
      <x:c r="G50" s="21" t="str">
        <x:v>بلدة</x:v>
      </x:c>
      <x:c r="H50" s="21" t="str">
        <x:v>canonical_identity_preserved_no_identity_decision</x:v>
      </x:c>
      <x:c r="I50" s="21" t="str"/>
      <x:c r="J50" s="21" t="str">
        <x:v>LIMITED_RESEARCH_PAGE</x:v>
      </x:c>
      <x:c r="K50" s="21" t="str">
        <x:v>IMPLEMENTED_PENDING_LOCAL_UAT</x:v>
      </x:c>
      <x:c r="L50" s="21" t="n">
        <x:v>0</x:v>
      </x:c>
      <x:c r="M50" s="21" t="n">
        <x:v>0</x:v>
      </x:c>
      <x:c r="N50" s="21" t="str"/>
      <x:c r="O50" s="21" t="str"/>
      <x:c r="P50" s="21" t="n">
        <x:v>3</x:v>
      </x:c>
      <x:c r="Q50" s="21" t="n">
        <x:v>0</x:v>
      </x:c>
      <x:c r="R50" s="21" t="n">
        <x:v>0</x:v>
      </x:c>
      <x:c r="S50" s="21" t="n">
        <x:v>2</x:v>
      </x:c>
      <x:c r="T50" s="21" t="n">
        <x:v>1</x:v>
      </x:c>
      <x:c r="U50" s="21" t="n">
        <x:v>0</x:v>
      </x:c>
      <x:c r="V50" s="21" t="str"/>
      <x:c r="W50" s="21" t="str"/>
      <x:c r="X50" s="21" t="str"/>
      <x:c r="Y50" s="21" t="str">
        <x:v>needs_geospatial_verification</x:v>
      </x:c>
      <x:c r="Z50" s="21" t="str">
        <x:v>BLOCKED</x:v>
      </x:c>
      <x:c r="AA50" s="21" t="n">
        <x:v>0</x:v>
      </x:c>
      <x:c r="AB50" s="21" t="str">
        <x:v>NO_APPROVED_MEDIA_ASSET</x:v>
      </x:c>
      <x:c r="AC50" s="21" t="str">
        <x:v>R9_0_0_UI_BUILT_PENDING_LOCAL_UAT</x:v>
      </x:c>
      <x:c r="AD50" s="21" t="str">
        <x:v>2026-08-02</x:v>
      </x:c>
      <x:c r="AE50" s="21" t="str">
        <x:v>BLOCKED</x:v>
      </x:c>
      <x:c r="AF50" s="21" t="str">
        <x:v>BLOCKED</x:v>
      </x:c>
      <x:c r="AG50" s="20" t="str">
        <x:v>catalogSummary</x:v>
      </x:c>
      <x:c r="AH50" s="20" t="n">
        <x:v>0</x:v>
      </x:c>
      <x:c r="AI50" s="20" t="n">
        <x:v>1</x:v>
      </x:c>
      <x:c r="AJ50" s="20" t="str">
        <x:v>DEBUG_ONLY</x:v>
      </x:c>
      <x:c r="AK50" s="20" t="str">
        <x:v>BLOCKED</x:v>
      </x:c>
    </x:row>
    <x:row r="51">
      <x:c r="A51" s="21" t="str">
        <x:v>site-7a4bd929848c</x:v>
      </x:c>
      <x:c r="B51" s="21" t="str">
        <x:v>khrb-brj-l-bd-7a4bd9</x:v>
      </x:c>
      <x:c r="C51" s="21" t="str">
        <x:v>خربة برج العبد</x:v>
      </x:c>
      <x:c r="D51" s="21" t="str"/>
      <x:c r="E51" s="21" t="str">
        <x:v>طولكرم</x:v>
      </x:c>
      <x:c r="F51" s="21" t="str">
        <x:v>عنبتا</x:v>
      </x:c>
      <x:c r="G51" s="21" t="str">
        <x:v>خربة/برج</x:v>
      </x:c>
      <x:c r="H51" s="21" t="str">
        <x:v>canonical_identity_preserved_no_identity_decision</x:v>
      </x:c>
      <x:c r="I51" s="21" t="str"/>
      <x:c r="J51" s="21" t="str">
        <x:v>LIMITED_RESEARCH_PAGE</x:v>
      </x:c>
      <x:c r="K51" s="21" t="str">
        <x:v>IMPLEMENTED_PENDING_LOCAL_UAT</x:v>
      </x:c>
      <x:c r="L51" s="21" t="n">
        <x:v>0</x:v>
      </x:c>
      <x:c r="M51" s="21" t="n">
        <x:v>0</x:v>
      </x:c>
      <x:c r="N51" s="21" t="str"/>
      <x:c r="O51" s="21" t="str"/>
      <x:c r="P51" s="21" t="n">
        <x:v>4</x:v>
      </x:c>
      <x:c r="Q51" s="21" t="n">
        <x:v>0</x:v>
      </x:c>
      <x:c r="R51" s="21" t="n">
        <x:v>0</x:v>
      </x:c>
      <x:c r="S51" s="21" t="n">
        <x:v>2</x:v>
      </x:c>
      <x:c r="T51" s="21" t="n">
        <x:v>2</x:v>
      </x:c>
      <x:c r="U51" s="21" t="n">
        <x:v>0</x:v>
      </x:c>
      <x:c r="V51" s="21" t="str"/>
      <x:c r="W51" s="21" t="str"/>
      <x:c r="X51" s="21" t="str"/>
      <x:c r="Y51" s="21" t="str">
        <x:v>needs_geospatial_verification</x:v>
      </x:c>
      <x:c r="Z51" s="21" t="str">
        <x:v>BLOCKED</x:v>
      </x:c>
      <x:c r="AA51" s="21" t="n">
        <x:v>0</x:v>
      </x:c>
      <x:c r="AB51" s="21" t="str">
        <x:v>NO_APPROVED_MEDIA_ASSET</x:v>
      </x:c>
      <x:c r="AC51" s="21" t="str">
        <x:v>R9_0_0_UI_BUILT_PENDING_LOCAL_UAT</x:v>
      </x:c>
      <x:c r="AD51" s="21" t="str">
        <x:v>2026-08-02</x:v>
      </x:c>
      <x:c r="AE51" s="21" t="str">
        <x:v>BLOCKED</x:v>
      </x:c>
      <x:c r="AF51" s="21" t="str">
        <x:v>BLOCKED</x:v>
      </x:c>
      <x:c r="AG51" s="20" t="str">
        <x:v>expandedNarrative</x:v>
      </x:c>
      <x:c r="AH51" s="20" t="n">
        <x:v>4</x:v>
      </x:c>
      <x:c r="AI51" s="20" t="n">
        <x:v>1</x:v>
      </x:c>
      <x:c r="AJ51" s="20" t="str">
        <x:v>DEBUG_ONLY</x:v>
      </x:c>
      <x:c r="AK51" s="20" t="str">
        <x:v>BLOCKED</x:v>
      </x:c>
    </x:row>
    <x:row r="52">
      <x:c r="A52" s="21" t="str">
        <x:v>site-0c0a379f20f7</x:v>
      </x:c>
      <x:c r="B52" s="21" t="str">
        <x:v>khrb-jb-0c0a37</x:v>
      </x:c>
      <x:c r="C52" s="21" t="str">
        <x:v>خربة جبع</x:v>
      </x:c>
      <x:c r="D52" s="21" t="str"/>
      <x:c r="E52" s="21" t="str">
        <x:v>طولكرم</x:v>
      </x:c>
      <x:c r="F52" s="21" t="str">
        <x:v>جبع</x:v>
      </x:c>
      <x:c r="G52" s="21" t="str">
        <x:v>خربة</x:v>
      </x:c>
      <x:c r="H52" s="21" t="str">
        <x:v>canonical_identity_preserved_no_identity_decision</x:v>
      </x:c>
      <x:c r="I52" s="21" t="str"/>
      <x:c r="J52" s="21" t="str">
        <x:v>LIMITED_RESEARCH_PAGE</x:v>
      </x:c>
      <x:c r="K52" s="21" t="str">
        <x:v>IMPLEMENTED_PENDING_LOCAL_UAT</x:v>
      </x:c>
      <x:c r="L52" s="21" t="n">
        <x:v>0</x:v>
      </x:c>
      <x:c r="M52" s="21" t="n">
        <x:v>0</x:v>
      </x:c>
      <x:c r="N52" s="21" t="str"/>
      <x:c r="O52" s="21" t="str"/>
      <x:c r="P52" s="21" t="n">
        <x:v>3</x:v>
      </x:c>
      <x:c r="Q52" s="21" t="n">
        <x:v>0</x:v>
      </x:c>
      <x:c r="R52" s="21" t="n">
        <x:v>0</x:v>
      </x:c>
      <x:c r="S52" s="21" t="n">
        <x:v>2</x:v>
      </x:c>
      <x:c r="T52" s="21" t="n">
        <x:v>1</x:v>
      </x:c>
      <x:c r="U52" s="21" t="n">
        <x:v>0</x:v>
      </x:c>
      <x:c r="V52" s="21" t="str"/>
      <x:c r="W52" s="21" t="str"/>
      <x:c r="X52" s="21" t="str"/>
      <x:c r="Y52" s="21" t="str">
        <x:v>needs_geospatial_verification</x:v>
      </x:c>
      <x:c r="Z52" s="21" t="str">
        <x:v>BLOCKED</x:v>
      </x:c>
      <x:c r="AA52" s="21" t="n">
        <x:v>0</x:v>
      </x:c>
      <x:c r="AB52" s="21" t="str">
        <x:v>NO_APPROVED_MEDIA_ASSET</x:v>
      </x:c>
      <x:c r="AC52" s="21" t="str">
        <x:v>R9_0_0_UI_BUILT_PENDING_LOCAL_UAT</x:v>
      </x:c>
      <x:c r="AD52" s="21" t="str">
        <x:v>2026-08-02</x:v>
      </x:c>
      <x:c r="AE52" s="21" t="str">
        <x:v>BLOCKED</x:v>
      </x:c>
      <x:c r="AF52" s="21" t="str">
        <x:v>BLOCKED</x:v>
      </x:c>
      <x:c r="AG52" s="20" t="str">
        <x:v>expandedNarrative</x:v>
      </x:c>
      <x:c r="AH52" s="20" t="n">
        <x:v>3</x:v>
      </x:c>
      <x:c r="AI52" s="20" t="n">
        <x:v>1</x:v>
      </x:c>
      <x:c r="AJ52" s="20" t="str">
        <x:v>DEBUG_ONLY</x:v>
      </x:c>
      <x:c r="AK52" s="20" t="str">
        <x:v>BLOCKED</x:v>
      </x:c>
    </x:row>
    <x:row r="53">
      <x:c r="A53" s="21" t="str">
        <x:v>site-be1c2ce90997</x:v>
      </x:c>
      <x:c r="B53" s="21" t="str">
        <x:v>mdyn-twlkrm-ltrykhy-be1c2c</x:v>
      </x:c>
      <x:c r="C53" s="21" t="str">
        <x:v>مدينة طولكرم التاريخية</x:v>
      </x:c>
      <x:c r="D53" s="21" t="str"/>
      <x:c r="E53" s="21" t="str">
        <x:v>طولكرم</x:v>
      </x:c>
      <x:c r="F53" s="21" t="str">
        <x:v>طولكرم</x:v>
      </x:c>
      <x:c r="G53" s="21" t="str">
        <x:v>عنقود عمراني تاريخي مؤقت</x:v>
      </x:c>
      <x:c r="H53" s="21" t="str">
        <x:v>reclassified_to_governed_cluster</x:v>
      </x:c>
      <x:c r="I53" s="21" t="str"/>
      <x:c r="J53" s="21" t="str">
        <x:v>GOVERNED_DRAFT_PAGE</x:v>
      </x:c>
      <x:c r="K53" s="21" t="str">
        <x:v>IMPLEMENTED_PENDING_LOCAL_UAT</x:v>
      </x:c>
      <x:c r="L53" s="21" t="n">
        <x:v>1</x:v>
      </x:c>
      <x:c r="M53" s="21" t="n">
        <x:v>2</x:v>
      </x:c>
      <x:c r="N53" s="21" t="str">
        <x:v>W4-AUTH-MOTA-TULKARM-MUSEUM; W4-AUTH-UNESCO-RIWAQ-75-STEPS-2023</x:v>
      </x:c>
      <x:c r="O53" s="21" t="str"/>
      <x:c r="P53" s="21" t="n">
        <x:v>3</x:v>
      </x:c>
      <x:c r="Q53" s="21" t="n">
        <x:v>0</x:v>
      </x:c>
      <x:c r="R53" s="21" t="n">
        <x:v>2</x:v>
      </x:c>
      <x:c r="S53" s="21" t="n">
        <x:v>1</x:v>
      </x:c>
      <x:c r="T53" s="21" t="n">
        <x:v>0</x:v>
      </x:c>
      <x:c r="U53" s="21" t="n">
        <x:v>0</x:v>
      </x:c>
      <x:c r="V53" s="21" t="str"/>
      <x:c r="W53" s="21" t="str"/>
      <x:c r="X53" s="21" t="str"/>
      <x:c r="Y53" s="21" t="str">
        <x:v>needs_geospatial_verification</x:v>
      </x:c>
      <x:c r="Z53" s="21" t="str">
        <x:v>BLOCKED</x:v>
      </x:c>
      <x:c r="AA53" s="21" t="n">
        <x:v>0</x:v>
      </x:c>
      <x:c r="AB53" s="21" t="str">
        <x:v>NO_APPROVED_MEDIA_ASSET</x:v>
      </x:c>
      <x:c r="AC53" s="21" t="str">
        <x:v>R9_0_0_UI_BUILT_PENDING_LOCAL_UAT</x:v>
      </x:c>
      <x:c r="AD53" s="21" t="str">
        <x:v>2026-08-02</x:v>
      </x:c>
      <x:c r="AE53" s="21" t="str">
        <x:v>BLOCKED</x:v>
      </x:c>
      <x:c r="AF53" s="21" t="str">
        <x:v>BLOCKED</x:v>
      </x:c>
      <x:c r="AG53" s="20" t="str">
        <x:v>catalogSummary</x:v>
      </x:c>
      <x:c r="AH53" s="20" t="n">
        <x:v>0</x:v>
      </x:c>
      <x:c r="AI53" s="20" t="n">
        <x:v>1</x:v>
      </x:c>
      <x:c r="AJ53" s="20" t="str">
        <x:v>DEBUG_ONLY</x:v>
      </x:c>
      <x:c r="AK53" s="20" t="str">
        <x:v>BLOCKED</x:v>
      </x:c>
    </x:row>
    <x:row r="54">
      <x:c r="A54" s="21" t="str">
        <x:v>site-95d241c30366</x:v>
      </x:c>
      <x:c r="B54" s="21" t="str">
        <x:v>mqm-lshykh-shltwt-95d241</x:v>
      </x:c>
      <x:c r="C54" s="21" t="str">
        <x:v>مقام الشيخ شلتوت</x:v>
      </x:c>
      <x:c r="D54" s="21" t="str"/>
      <x:c r="E54" s="21" t="str">
        <x:v>طولكرم</x:v>
      </x:c>
      <x:c r="F54" s="21" t="str">
        <x:v>طولكرم</x:v>
      </x:c>
      <x:c r="G54" s="21" t="str">
        <x:v>مقام</x:v>
      </x:c>
      <x:c r="H54" s="21" t="str">
        <x:v>canonical_identity_preserved_no_identity_decision</x:v>
      </x:c>
      <x:c r="I54" s="21" t="str"/>
      <x:c r="J54" s="21" t="str">
        <x:v>LIMITED_RESEARCH_PAGE</x:v>
      </x:c>
      <x:c r="K54" s="21" t="str">
        <x:v>IMPLEMENTED_PENDING_LOCAL_UAT</x:v>
      </x:c>
      <x:c r="L54" s="21" t="n">
        <x:v>0</x:v>
      </x:c>
      <x:c r="M54" s="21" t="n">
        <x:v>0</x:v>
      </x:c>
      <x:c r="N54" s="21" t="str"/>
      <x:c r="O54" s="21" t="str"/>
      <x:c r="P54" s="21" t="n">
        <x:v>4</x:v>
      </x:c>
      <x:c r="Q54" s="21" t="n">
        <x:v>0</x:v>
      </x:c>
      <x:c r="R54" s="21" t="n">
        <x:v>1</x:v>
      </x:c>
      <x:c r="S54" s="21" t="n">
        <x:v>2</x:v>
      </x:c>
      <x:c r="T54" s="21" t="n">
        <x:v>1</x:v>
      </x:c>
      <x:c r="U54" s="21" t="n">
        <x:v>0</x:v>
      </x:c>
      <x:c r="V54" s="21" t="str"/>
      <x:c r="W54" s="21" t="str"/>
      <x:c r="X54" s="21" t="str"/>
      <x:c r="Y54" s="21" t="str">
        <x:v>needs_geospatial_verification</x:v>
      </x:c>
      <x:c r="Z54" s="21" t="str">
        <x:v>BLOCKED</x:v>
      </x:c>
      <x:c r="AA54" s="21" t="n">
        <x:v>0</x:v>
      </x:c>
      <x:c r="AB54" s="21" t="str">
        <x:v>NO_APPROVED_MEDIA_ASSET</x:v>
      </x:c>
      <x:c r="AC54" s="21" t="str">
        <x:v>R9_0_0_UI_BUILT_PENDING_LOCAL_UAT</x:v>
      </x:c>
      <x:c r="AD54" s="21" t="str">
        <x:v>2026-08-02</x:v>
      </x:c>
      <x:c r="AE54" s="21" t="str">
        <x:v>BLOCKED</x:v>
      </x:c>
      <x:c r="AF54" s="21" t="str">
        <x:v>BLOCKED</x:v>
      </x:c>
      <x:c r="AG54" s="20" t="str">
        <x:v>catalogSummary</x:v>
      </x:c>
      <x:c r="AH54" s="20" t="n">
        <x:v>0</x:v>
      </x:c>
      <x:c r="AI54" s="20" t="n">
        <x:v>1</x:v>
      </x:c>
      <x:c r="AJ54" s="20" t="str">
        <x:v>DEBUG_ONLY</x:v>
      </x:c>
      <x:c r="AK54" s="20" t="str">
        <x:v>BLOCKED</x:v>
      </x:c>
    </x:row>
    <x:row r="55">
      <x:c r="A55" s="21" t="str">
        <x:v>site-02cb039fe1eb</x:v>
      </x:c>
      <x:c r="B55" s="21" t="str">
        <x:v>khrb-zwn-02cb03</x:v>
      </x:c>
      <x:c r="C55" s="21" t="str">
        <x:v>خربة عزون</x:v>
      </x:c>
      <x:c r="D55" s="21" t="str"/>
      <x:c r="E55" s="21" t="str">
        <x:v>قلقيلية</x:v>
      </x:c>
      <x:c r="F55" s="21" t="str">
        <x:v>عزون</x:v>
      </x:c>
      <x:c r="G55" s="21" t="str">
        <x:v>خربة</x:v>
      </x:c>
      <x:c r="H55" s="21" t="str">
        <x:v>canonical_identity_preserved_no_identity_decision</x:v>
      </x:c>
      <x:c r="I55" s="21" t="str"/>
      <x:c r="J55" s="21" t="str">
        <x:v>LIMITED_RESEARCH_PAGE</x:v>
      </x:c>
      <x:c r="K55" s="21" t="str">
        <x:v>IMPLEMENTED_PENDING_LOCAL_UAT</x:v>
      </x:c>
      <x:c r="L55" s="21" t="n">
        <x:v>0</x:v>
      </x:c>
      <x:c r="M55" s="21" t="n">
        <x:v>0</x:v>
      </x:c>
      <x:c r="N55" s="21" t="str"/>
      <x:c r="O55" s="21" t="str"/>
      <x:c r="P55" s="21" t="n">
        <x:v>3</x:v>
      </x:c>
      <x:c r="Q55" s="21" t="n">
        <x:v>0</x:v>
      </x:c>
      <x:c r="R55" s="21" t="n">
        <x:v>0</x:v>
      </x:c>
      <x:c r="S55" s="21" t="n">
        <x:v>2</x:v>
      </x:c>
      <x:c r="T55" s="21" t="n">
        <x:v>1</x:v>
      </x:c>
      <x:c r="U55" s="21" t="n">
        <x:v>0</x:v>
      </x:c>
      <x:c r="V55" s="21" t="str"/>
      <x:c r="W55" s="21" t="str"/>
      <x:c r="X55" s="21" t="str"/>
      <x:c r="Y55" s="21" t="str">
        <x:v>needs_geospatial_verification</x:v>
      </x:c>
      <x:c r="Z55" s="21" t="str">
        <x:v>BLOCKED</x:v>
      </x:c>
      <x:c r="AA55" s="21" t="n">
        <x:v>0</x:v>
      </x:c>
      <x:c r="AB55" s="21" t="str">
        <x:v>NO_APPROVED_MEDIA_ASSET</x:v>
      </x:c>
      <x:c r="AC55" s="21" t="str">
        <x:v>R9_0_0_UI_BUILT_PENDING_LOCAL_UAT</x:v>
      </x:c>
      <x:c r="AD55" s="21" t="str">
        <x:v>2026-08-02</x:v>
      </x:c>
      <x:c r="AE55" s="21" t="str">
        <x:v>BLOCKED</x:v>
      </x:c>
      <x:c r="AF55" s="21" t="str">
        <x:v>BLOCKED</x:v>
      </x:c>
      <x:c r="AG55" s="20" t="str">
        <x:v>catalogSummary</x:v>
      </x:c>
      <x:c r="AH55" s="20" t="n">
        <x:v>0</x:v>
      </x:c>
      <x:c r="AI55" s="20" t="n">
        <x:v>1</x:v>
      </x:c>
      <x:c r="AJ55" s="20" t="str">
        <x:v>DEBUG_ONLY</x:v>
      </x:c>
      <x:c r="AK55" s="20" t="str">
        <x:v>BLOCKED</x:v>
      </x:c>
    </x:row>
    <x:row r="56">
      <x:c r="A56" s="21" t="str">
        <x:v>site-3ab4c5b64173</x:v>
      </x:c>
      <x:c r="B56" s="21" t="str">
        <x:v>khrb-qlqyly-lqdym-3ab4c5</x:v>
      </x:c>
      <x:c r="C56" s="21" t="str">
        <x:v>خربة قلقيلية القديمة</x:v>
      </x:c>
      <x:c r="D56" s="21" t="str"/>
      <x:c r="E56" s="21" t="str">
        <x:v>قلقيلية</x:v>
      </x:c>
      <x:c r="F56" s="21" t="str">
        <x:v>قلقيلية</x:v>
      </x:c>
      <x:c r="G56" s="21" t="str">
        <x:v>خربة</x:v>
      </x:c>
      <x:c r="H56" s="21" t="str">
        <x:v>canonical_identity_preserved_no_identity_decision</x:v>
      </x:c>
      <x:c r="I56" s="21" t="str"/>
      <x:c r="J56" s="21" t="str">
        <x:v>LIMITED_RESEARCH_PAGE</x:v>
      </x:c>
      <x:c r="K56" s="21" t="str">
        <x:v>IMPLEMENTED_PENDING_LOCAL_UAT</x:v>
      </x:c>
      <x:c r="L56" s="21" t="n">
        <x:v>0</x:v>
      </x:c>
      <x:c r="M56" s="21" t="n">
        <x:v>0</x:v>
      </x:c>
      <x:c r="N56" s="21" t="str"/>
      <x:c r="O56" s="21" t="str"/>
      <x:c r="P56" s="21" t="n">
        <x:v>4</x:v>
      </x:c>
      <x:c r="Q56" s="21" t="n">
        <x:v>0</x:v>
      </x:c>
      <x:c r="R56" s="21" t="n">
        <x:v>0</x:v>
      </x:c>
      <x:c r="S56" s="21" t="n">
        <x:v>3</x:v>
      </x:c>
      <x:c r="T56" s="21" t="n">
        <x:v>1</x:v>
      </x:c>
      <x:c r="U56" s="21" t="n">
        <x:v>0</x:v>
      </x:c>
      <x:c r="V56" s="21" t="str"/>
      <x:c r="W56" s="21" t="str"/>
      <x:c r="X56" s="21" t="str"/>
      <x:c r="Y56" s="21" t="str">
        <x:v>needs_geospatial_verification</x:v>
      </x:c>
      <x:c r="Z56" s="21" t="str">
        <x:v>BLOCKED</x:v>
      </x:c>
      <x:c r="AA56" s="21" t="n">
        <x:v>0</x:v>
      </x:c>
      <x:c r="AB56" s="21" t="str">
        <x:v>NO_APPROVED_MEDIA_ASSET</x:v>
      </x:c>
      <x:c r="AC56" s="21" t="str">
        <x:v>R9_0_0_UI_BUILT_PENDING_LOCAL_UAT</x:v>
      </x:c>
      <x:c r="AD56" s="21" t="str">
        <x:v>2026-08-02</x:v>
      </x:c>
      <x:c r="AE56" s="21" t="str">
        <x:v>BLOCKED</x:v>
      </x:c>
      <x:c r="AF56" s="21" t="str">
        <x:v>BLOCKED</x:v>
      </x:c>
      <x:c r="AG56" s="20" t="str">
        <x:v>expandedNarrative</x:v>
      </x:c>
      <x:c r="AH56" s="20" t="n">
        <x:v>3</x:v>
      </x:c>
      <x:c r="AI56" s="20" t="n">
        <x:v>1</x:v>
      </x:c>
      <x:c r="AJ56" s="20" t="str">
        <x:v>DEBUG_ONLY</x:v>
      </x:c>
      <x:c r="AK56" s="20" t="str">
        <x:v>BLOCKED</x:v>
      </x:c>
    </x:row>
    <x:row r="57">
      <x:c r="A57" s="21" t="str">
        <x:v>site-a33c0a4f64fa</x:v>
      </x:c>
      <x:c r="B57" s="21" t="str">
        <x:v>mqm-lnby-ymyn-a33c0a</x:v>
      </x:c>
      <x:c r="C57" s="21" t="str">
        <x:v>مقام النبي يامين</x:v>
      </x:c>
      <x:c r="D57" s="21" t="str"/>
      <x:c r="E57" s="21" t="str">
        <x:v>قلقيلية</x:v>
      </x:c>
      <x:c r="F57" s="21" t="str">
        <x:v>عزون</x:v>
      </x:c>
      <x:c r="G57" s="21" t="str">
        <x:v>مقام</x:v>
      </x:c>
      <x:c r="H57" s="21" t="str">
        <x:v>canonical_identity_preserved_no_identity_decision</x:v>
      </x:c>
      <x:c r="I57" s="21" t="str"/>
      <x:c r="J57" s="21" t="str">
        <x:v>LIMITED_RESEARCH_PAGE</x:v>
      </x:c>
      <x:c r="K57" s="21" t="str">
        <x:v>IMPLEMENTED_PENDING_LOCAL_UAT</x:v>
      </x:c>
      <x:c r="L57" s="21" t="n">
        <x:v>0</x:v>
      </x:c>
      <x:c r="M57" s="21" t="n">
        <x:v>0</x:v>
      </x:c>
      <x:c r="N57" s="21" t="str"/>
      <x:c r="O57" s="21" t="str"/>
      <x:c r="P57" s="21" t="n">
        <x:v>4</x:v>
      </x:c>
      <x:c r="Q57" s="21" t="n">
        <x:v>0</x:v>
      </x:c>
      <x:c r="R57" s="21" t="n">
        <x:v>1</x:v>
      </x:c>
      <x:c r="S57" s="21" t="n">
        <x:v>1</x:v>
      </x:c>
      <x:c r="T57" s="21" t="n">
        <x:v>2</x:v>
      </x:c>
      <x:c r="U57" s="21" t="n">
        <x:v>0</x:v>
      </x:c>
      <x:c r="V57" s="21" t="str"/>
      <x:c r="W57" s="21" t="str"/>
      <x:c r="X57" s="21" t="str"/>
      <x:c r="Y57" s="21" t="str">
        <x:v>needs_geospatial_verification</x:v>
      </x:c>
      <x:c r="Z57" s="21" t="str">
        <x:v>BLOCKED</x:v>
      </x:c>
      <x:c r="AA57" s="21" t="n">
        <x:v>0</x:v>
      </x:c>
      <x:c r="AB57" s="21" t="str">
        <x:v>NO_APPROVED_MEDIA_ASSET</x:v>
      </x:c>
      <x:c r="AC57" s="21" t="str">
        <x:v>R9_0_0_UI_BUILT_PENDING_LOCAL_UAT</x:v>
      </x:c>
      <x:c r="AD57" s="21" t="str">
        <x:v>2026-08-02</x:v>
      </x:c>
      <x:c r="AE57" s="21" t="str">
        <x:v>BLOCKED</x:v>
      </x:c>
      <x:c r="AF57" s="21" t="str">
        <x:v>BLOCKED</x:v>
      </x:c>
      <x:c r="AG57" s="20" t="str">
        <x:v>expandedNarrative</x:v>
      </x:c>
      <x:c r="AH57" s="20" t="n">
        <x:v>2</x:v>
      </x:c>
      <x:c r="AI57" s="20" t="n">
        <x:v>1</x:v>
      </x:c>
      <x:c r="AJ57" s="20" t="str">
        <x:v>DEBUG_ONLY</x:v>
      </x:c>
      <x:c r="AK57" s="20" t="str">
        <x:v>BLOCKED</x:v>
      </x:c>
    </x:row>
    <x:row r="58">
      <x:c r="A58" s="21" t="str">
        <x:v>site-69f3ad775733</x:v>
      </x:c>
      <x:c r="B58" s="21" t="str">
        <x:v>khrb-dyr-sty-69f3ad</x:v>
      </x:c>
      <x:c r="C58" s="21" t="str">
        <x:v>بلدة دير استيا التاريخية</x:v>
      </x:c>
      <x:c r="D58" s="21" t="str"/>
      <x:c r="E58" s="21" t="str">
        <x:v>سلفيت</x:v>
      </x:c>
      <x:c r="F58" s="21" t="str">
        <x:v>دير استيا</x:v>
      </x:c>
      <x:c r="G58" s="21" t="str">
        <x:v>عنقود بلدة تاريخية</x:v>
      </x:c>
      <x:c r="H58" s="21" t="str">
        <x:v>reclassified_to_governed_cluster</x:v>
      </x:c>
      <x:c r="I58" s="21" t="str"/>
      <x:c r="J58" s="21" t="str">
        <x:v>GOVERNED_DRAFT_PAGE</x:v>
      </x:c>
      <x:c r="K58" s="21" t="str">
        <x:v>IMPLEMENTED_PENDING_LOCAL_UAT</x:v>
      </x:c>
      <x:c r="L58" s="21" t="n">
        <x:v>1</x:v>
      </x:c>
      <x:c r="M58" s="21" t="n">
        <x:v>3</x:v>
      </x:c>
      <x:c r="N58" s="21" t="str">
        <x:v>W4-AUTH-MOTA-DEIR-ISTIYA; W4-AUTH-RIWAQ-50-CENTRES; W4-AUTH-RIWAQ-DEIR-ISTIYA-PALACES</x:v>
      </x:c>
      <x:c r="O58" s="21" t="str"/>
      <x:c r="P58" s="21" t="n">
        <x:v>3</x:v>
      </x:c>
      <x:c r="Q58" s="21" t="n">
        <x:v>0</x:v>
      </x:c>
      <x:c r="R58" s="21" t="n">
        <x:v>1</x:v>
      </x:c>
      <x:c r="S58" s="21" t="n">
        <x:v>2</x:v>
      </x:c>
      <x:c r="T58" s="21" t="n">
        <x:v>0</x:v>
      </x:c>
      <x:c r="U58" s="21" t="n">
        <x:v>0</x:v>
      </x:c>
      <x:c r="V58" s="21" t="str"/>
      <x:c r="W58" s="21" t="str"/>
      <x:c r="X58" s="21" t="str"/>
      <x:c r="Y58" s="21" t="str">
        <x:v>needs_geospatial_verification</x:v>
      </x:c>
      <x:c r="Z58" s="21" t="str">
        <x:v>BLOCKED</x:v>
      </x:c>
      <x:c r="AA58" s="21" t="n">
        <x:v>0</x:v>
      </x:c>
      <x:c r="AB58" s="21" t="str">
        <x:v>NO_APPROVED_MEDIA_ASSET</x:v>
      </x:c>
      <x:c r="AC58" s="21" t="str">
        <x:v>R9_0_0_UI_BUILT_PENDING_LOCAL_UAT</x:v>
      </x:c>
      <x:c r="AD58" s="21" t="str">
        <x:v>2026-08-02</x:v>
      </x:c>
      <x:c r="AE58" s="21" t="str">
        <x:v>BLOCKED</x:v>
      </x:c>
      <x:c r="AF58" s="21" t="str">
        <x:v>BLOCKED</x:v>
      </x:c>
      <x:c r="AG58" s="20" t="str">
        <x:v>expandedNarrative</x:v>
      </x:c>
      <x:c r="AH58" s="20" t="n">
        <x:v>3</x:v>
      </x:c>
      <x:c r="AI58" s="20" t="n">
        <x:v>1</x:v>
      </x:c>
      <x:c r="AJ58" s="20" t="str">
        <x:v>DEBUG_ONLY</x:v>
      </x:c>
      <x:c r="AK58" s="20" t="str">
        <x:v>BLOCKED</x:v>
      </x:c>
    </x:row>
    <x:row r="59">
      <x:c r="A59" s="21" t="str">
        <x:v>site-ba91049d51a9</x:v>
      </x:c>
      <x:c r="B59" s="21" t="str">
        <x:v>ywn-lm-l-thry-ba9104</x:v>
      </x:c>
      <x:c r="C59" s="21" t="str">
        <x:v>عيون الماء الأثرية</x:v>
      </x:c>
      <x:c r="D59" s="21" t="str"/>
      <x:c r="E59" s="21" t="str">
        <x:v>سلفيت</x:v>
      </x:c>
      <x:c r="F59" s="21" t="str">
        <x:v>سلفيت</x:v>
      </x:c>
      <x:c r="G59" s="21" t="str">
        <x:v>عنقود معالم مائية</x:v>
      </x:c>
      <x:c r="H59" s="21" t="str">
        <x:v>reclassified_to_governed_cluster</x:v>
      </x:c>
      <x:c r="I59" s="21" t="str"/>
      <x:c r="J59" s="21" t="str">
        <x:v>GOVERNED_DRAFT_PAGE</x:v>
      </x:c>
      <x:c r="K59" s="21" t="str">
        <x:v>IMPLEMENTED_PENDING_LOCAL_UAT</x:v>
      </x:c>
      <x:c r="L59" s="21" t="n">
        <x:v>1</x:v>
      </x:c>
      <x:c r="M59" s="21" t="n">
        <x:v>1</x:v>
      </x:c>
      <x:c r="N59" s="21" t="str">
        <x:v>W4-AUTH-MOTA-DEIR-ISTIYA</x:v>
      </x:c>
      <x:c r="O59" s="21" t="str"/>
      <x:c r="P59" s="21" t="n">
        <x:v>3</x:v>
      </x:c>
      <x:c r="Q59" s="21" t="n">
        <x:v>0</x:v>
      </x:c>
      <x:c r="R59" s="21" t="n">
        <x:v>1</x:v>
      </x:c>
      <x:c r="S59" s="21" t="n">
        <x:v>1</x:v>
      </x:c>
      <x:c r="T59" s="21" t="n">
        <x:v>1</x:v>
      </x:c>
      <x:c r="U59" s="21" t="n">
        <x:v>0</x:v>
      </x:c>
      <x:c r="V59" s="21" t="str"/>
      <x:c r="W59" s="21" t="str"/>
      <x:c r="X59" s="21" t="str"/>
      <x:c r="Y59" s="21" t="str">
        <x:v>needs_geospatial_verification</x:v>
      </x:c>
      <x:c r="Z59" s="21" t="str">
        <x:v>BLOCKED</x:v>
      </x:c>
      <x:c r="AA59" s="21" t="n">
        <x:v>0</x:v>
      </x:c>
      <x:c r="AB59" s="21" t="str">
        <x:v>NO_APPROVED_MEDIA_ASSET</x:v>
      </x:c>
      <x:c r="AC59" s="21" t="str">
        <x:v>R9_0_0_UI_BUILT_PENDING_LOCAL_UAT</x:v>
      </x:c>
      <x:c r="AD59" s="21" t="str">
        <x:v>2026-08-02</x:v>
      </x:c>
      <x:c r="AE59" s="21" t="str">
        <x:v>BLOCKED</x:v>
      </x:c>
      <x:c r="AF59" s="21" t="str">
        <x:v>BLOCKED</x:v>
      </x:c>
      <x:c r="AG59" s="20" t="str">
        <x:v>catalogSummary</x:v>
      </x:c>
      <x:c r="AH59" s="20" t="n">
        <x:v>0</x:v>
      </x:c>
      <x:c r="AI59" s="20" t="n">
        <x:v>1</x:v>
      </x:c>
      <x:c r="AJ59" s="20" t="str">
        <x:v>DEBUG_ONLY</x:v>
      </x:c>
      <x:c r="AK59" s="20" t="str">
        <x:v>BLOCKED</x:v>
      </x:c>
    </x:row>
    <x:row r="60">
      <x:c r="A60" s="21" t="str">
        <x:v>site-b2a7e03ecda1</x:v>
      </x:c>
      <x:c r="B60" s="21" t="str">
        <x:v>ql-kfl-hrs-b2a7e0</x:v>
      </x:c>
      <x:c r="C60" s="21" t="str">
        <x:v>قلعة كفل حارس</x:v>
      </x:c>
      <x:c r="D60" s="21" t="str"/>
      <x:c r="E60" s="21" t="str">
        <x:v>سلفيت</x:v>
      </x:c>
      <x:c r="F60" s="21" t="str">
        <x:v>كفل حارس</x:v>
      </x:c>
      <x:c r="G60" s="21" t="str">
        <x:v>قلعة</x:v>
      </x:c>
      <x:c r="H60" s="21" t="str">
        <x:v>canonical_identity_preserved_no_identity_decision</x:v>
      </x:c>
      <x:c r="I60" s="21" t="str">
        <x:v>IDENTITY_MISMATCH_HOLD</x:v>
      </x:c>
      <x:c r="J60" s="21" t="str">
        <x:v>LIMITED_RESEARCH_PAGE</x:v>
      </x:c>
      <x:c r="K60" s="21" t="str">
        <x:v>IMPLEMENTED_PENDING_LOCAL_UAT</x:v>
      </x:c>
      <x:c r="L60" s="21" t="n">
        <x:v>0</x:v>
      </x:c>
      <x:c r="M60" s="21" t="n">
        <x:v>0</x:v>
      </x:c>
      <x:c r="N60" s="21" t="str"/>
      <x:c r="O60" s="21" t="str"/>
      <x:c r="P60" s="21" t="n">
        <x:v>3</x:v>
      </x:c>
      <x:c r="Q60" s="21" t="n">
        <x:v>0</x:v>
      </x:c>
      <x:c r="R60" s="21" t="n">
        <x:v>1</x:v>
      </x:c>
      <x:c r="S60" s="21" t="n">
        <x:v>1</x:v>
      </x:c>
      <x:c r="T60" s="21" t="n">
        <x:v>1</x:v>
      </x:c>
      <x:c r="U60" s="21" t="n">
        <x:v>0</x:v>
      </x:c>
      <x:c r="V60" s="21" t="str"/>
      <x:c r="W60" s="21" t="str"/>
      <x:c r="X60" s="21" t="str"/>
      <x:c r="Y60" s="21" t="str">
        <x:v>needs_geospatial_verification</x:v>
      </x:c>
      <x:c r="Z60" s="21" t="str">
        <x:v>BLOCKED</x:v>
      </x:c>
      <x:c r="AA60" s="21" t="n">
        <x:v>0</x:v>
      </x:c>
      <x:c r="AB60" s="21" t="str">
        <x:v>NO_APPROVED_MEDIA_ASSET</x:v>
      </x:c>
      <x:c r="AC60" s="21" t="str">
        <x:v>R9_0_0_UI_BUILT_PENDING_LOCAL_UAT</x:v>
      </x:c>
      <x:c r="AD60" s="21" t="str">
        <x:v>2026-08-02</x:v>
      </x:c>
      <x:c r="AE60" s="21" t="str">
        <x:v>BLOCKED</x:v>
      </x:c>
      <x:c r="AF60" s="21" t="str">
        <x:v>BLOCKED</x:v>
      </x:c>
      <x:c r="AG60" s="20" t="str">
        <x:v>expandedNarrative</x:v>
      </x:c>
      <x:c r="AH60" s="20" t="n">
        <x:v>2</x:v>
      </x:c>
      <x:c r="AI60" s="20" t="n">
        <x:v>1</x:v>
      </x:c>
      <x:c r="AJ60" s="20" t="str">
        <x:v>DEBUG_ONLY</x:v>
      </x:c>
      <x:c r="AK60" s="20" t="str">
        <x:v>BLOCKED</x:v>
      </x:c>
    </x:row>
    <x:row r="61">
      <x:c r="A61" s="21" t="str">
        <x:v>site-c6731a990917</x:v>
      </x:c>
      <x:c r="B61" s="21" t="str">
        <x:v>tl-lfr-lmdyn-lkn-ny-c6731a</x:v>
      </x:c>
      <x:c r="C61" s="21" t="str">
        <x:v>تل الفارعة (المدينة الكنعانية)</x:v>
      </x:c>
      <x:c r="D61" s="21" t="str"/>
      <x:c r="E61" s="21" t="str">
        <x:v>طوباس</x:v>
      </x:c>
      <x:c r="F61" s="21" t="str">
        <x:v>رأس الفارعة</x:v>
      </x:c>
      <x:c r="G61" s="21" t="str">
        <x:v>تل أثري</x:v>
      </x:c>
      <x:c r="H61" s="21" t="str">
        <x:v>canonical_identity_preserved_no_identity_decision</x:v>
      </x:c>
      <x:c r="I61" s="21" t="str"/>
      <x:c r="J61" s="21" t="str">
        <x:v>GOVERNED_DRAFT_PAGE</x:v>
      </x:c>
      <x:c r="K61" s="21" t="str">
        <x:v>IMPLEMENTED_PENDING_LOCAL_UAT</x:v>
      </x:c>
      <x:c r="L61" s="21" t="n">
        <x:v>2</x:v>
      </x:c>
      <x:c r="M61" s="21" t="n">
        <x:v>2</x:v>
      </x:c>
      <x:c r="N61" s="21" t="str">
        <x:v>W4-ACADEMIC-EBAF-TELL-FARAH-CORPUS; W4-AUTH-TELL-EL-FARA-PROJECT-2026</x:v>
      </x:c>
      <x:c r="O61" s="21" t="str">
        <x:v>P0-SRC-TELL-EL-FARAH-PROJECT</x:v>
      </x:c>
      <x:c r="P61" s="21" t="n">
        <x:v>3</x:v>
      </x:c>
      <x:c r="Q61" s="21" t="n">
        <x:v>1</x:v>
      </x:c>
      <x:c r="R61" s="21" t="n">
        <x:v>0</x:v>
      </x:c>
      <x:c r="S61" s="21" t="n">
        <x:v>0</x:v>
      </x:c>
      <x:c r="T61" s="21" t="n">
        <x:v>2</x:v>
      </x:c>
      <x:c r="U61" s="21" t="n">
        <x:v>1</x:v>
      </x:c>
      <x:c r="V61" s="21" t="str">
        <x:v>P0_PARTIAL_DOCUMENTARY_CLOSURE:site-c6731a990917-W4-H03</x:v>
      </x:c>
      <x:c r="W61" s="21" t="str"/>
      <x:c r="X61" s="21" t="str"/>
      <x:c r="Y61" s="21" t="str">
        <x:v>needs_geospatial_verification</x:v>
      </x:c>
      <x:c r="Z61" s="21" t="str">
        <x:v>BLOCKED</x:v>
      </x:c>
      <x:c r="AA61" s="21" t="n">
        <x:v>0</x:v>
      </x:c>
      <x:c r="AB61" s="21" t="str">
        <x:v>NO_APPROVED_MEDIA_ASSET</x:v>
      </x:c>
      <x:c r="AC61" s="21" t="str">
        <x:v>R9_0_0_UI_BUILT_PENDING_LOCAL_UAT</x:v>
      </x:c>
      <x:c r="AD61" s="21" t="str">
        <x:v>2026-08-02</x:v>
      </x:c>
      <x:c r="AE61" s="21" t="str">
        <x:v>BLOCKED</x:v>
      </x:c>
      <x:c r="AF61" s="21" t="str">
        <x:v>BLOCKED</x:v>
      </x:c>
      <x:c r="AG61" s="20" t="str">
        <x:v>expandedNarrative</x:v>
      </x:c>
      <x:c r="AH61" s="20" t="n">
        <x:v>3</x:v>
      </x:c>
      <x:c r="AI61" s="20" t="n">
        <x:v>1</x:v>
      </x:c>
      <x:c r="AJ61" s="20" t="str">
        <x:v>DEBUG_ONLY</x:v>
      </x:c>
      <x:c r="AK61" s="20" t="str">
        <x:v>BLOCKED</x:v>
      </x:c>
    </x:row>
    <x:row r="62">
      <x:c r="A62" s="21" t="str">
        <x:v>site-4ab7d2100cc2</x:v>
      </x:c>
      <x:c r="B62" s="21" t="str">
        <x:v>khrb-twbs-lqdym-4ab7d2</x:v>
      </x:c>
      <x:c r="C62" s="21" t="str">
        <x:v>خربة طوباس القديمة</x:v>
      </x:c>
      <x:c r="D62" s="21" t="str"/>
      <x:c r="E62" s="21" t="str">
        <x:v>طوباس</x:v>
      </x:c>
      <x:c r="F62" s="21" t="str">
        <x:v>طوباس</x:v>
      </x:c>
      <x:c r="G62" s="21" t="str">
        <x:v>خربة</x:v>
      </x:c>
      <x:c r="H62" s="21" t="str">
        <x:v>canonical_identity_preserved_no_identity_decision</x:v>
      </x:c>
      <x:c r="I62" s="21" t="str"/>
      <x:c r="J62" s="21" t="str">
        <x:v>LIMITED_RESEARCH_PAGE</x:v>
      </x:c>
      <x:c r="K62" s="21" t="str">
        <x:v>IMPLEMENTED_PENDING_LOCAL_UAT</x:v>
      </x:c>
      <x:c r="L62" s="21" t="n">
        <x:v>0</x:v>
      </x:c>
      <x:c r="M62" s="21" t="n">
        <x:v>0</x:v>
      </x:c>
      <x:c r="N62" s="21" t="str"/>
      <x:c r="O62" s="21" t="str"/>
      <x:c r="P62" s="21" t="n">
        <x:v>4</x:v>
      </x:c>
      <x:c r="Q62" s="21" t="n">
        <x:v>0</x:v>
      </x:c>
      <x:c r="R62" s="21" t="n">
        <x:v>0</x:v>
      </x:c>
      <x:c r="S62" s="21" t="n">
        <x:v>3</x:v>
      </x:c>
      <x:c r="T62" s="21" t="n">
        <x:v>1</x:v>
      </x:c>
      <x:c r="U62" s="21" t="n">
        <x:v>0</x:v>
      </x:c>
      <x:c r="V62" s="21" t="str"/>
      <x:c r="W62" s="21" t="str"/>
      <x:c r="X62" s="21" t="str"/>
      <x:c r="Y62" s="21" t="str">
        <x:v>needs_geospatial_verification</x:v>
      </x:c>
      <x:c r="Z62" s="21" t="str">
        <x:v>BLOCKED</x:v>
      </x:c>
      <x:c r="AA62" s="21" t="n">
        <x:v>0</x:v>
      </x:c>
      <x:c r="AB62" s="21" t="str">
        <x:v>NO_APPROVED_MEDIA_ASSET</x:v>
      </x:c>
      <x:c r="AC62" s="21" t="str">
        <x:v>R9_0_0_UI_BUILT_PENDING_LOCAL_UAT</x:v>
      </x:c>
      <x:c r="AD62" s="21" t="str">
        <x:v>2026-08-02</x:v>
      </x:c>
      <x:c r="AE62" s="21" t="str">
        <x:v>BLOCKED</x:v>
      </x:c>
      <x:c r="AF62" s="21" t="str">
        <x:v>BLOCKED</x:v>
      </x:c>
      <x:c r="AG62" s="20" t="str">
        <x:v>catalogSummary</x:v>
      </x:c>
      <x:c r="AH62" s="20" t="n">
        <x:v>0</x:v>
      </x:c>
      <x:c r="AI62" s="20" t="n">
        <x:v>1</x:v>
      </x:c>
      <x:c r="AJ62" s="20" t="str">
        <x:v>DEBUG_ONLY</x:v>
      </x:c>
      <x:c r="AK62" s="20" t="str">
        <x:v>BLOCKED</x:v>
      </x:c>
    </x:row>
    <x:row r="63">
      <x:c r="A63" s="21" t="str">
        <x:v>site-bc56c2f93d66</x:v>
      </x:c>
      <x:c r="B63" s="21" t="str">
        <x:v>yn-lfr-bc56c2</x:v>
      </x:c>
      <x:c r="C63" s="21" t="str">
        <x:v>عين الفارعة</x:v>
      </x:c>
      <x:c r="D63" s="21" t="str"/>
      <x:c r="E63" s="21" t="str">
        <x:v>طوباس</x:v>
      </x:c>
      <x:c r="F63" s="21" t="str">
        <x:v>طوباس</x:v>
      </x:c>
      <x:c r="G63" s="21" t="str">
        <x:v>نبع</x:v>
      </x:c>
      <x:c r="H63" s="21" t="str">
        <x:v>unresolved_identity_hold</x:v>
      </x:c>
      <x:c r="I63" s="21" t="str">
        <x:v>blocked_pending_dedicated_source</x:v>
      </x:c>
      <x:c r="J63" s="21" t="str">
        <x:v>LIMITED_RESEARCH_PAGE</x:v>
      </x:c>
      <x:c r="K63" s="21" t="str">
        <x:v>IMPLEMENTED_PENDING_LOCAL_UAT</x:v>
      </x:c>
      <x:c r="L63" s="21" t="n">
        <x:v>0</x:v>
      </x:c>
      <x:c r="M63" s="21" t="n">
        <x:v>0</x:v>
      </x:c>
      <x:c r="N63" s="21" t="str"/>
      <x:c r="O63" s="21" t="str"/>
      <x:c r="P63" s="21" t="n">
        <x:v>3</x:v>
      </x:c>
      <x:c r="Q63" s="21" t="n">
        <x:v>0</x:v>
      </x:c>
      <x:c r="R63" s="21" t="n">
        <x:v>1</x:v>
      </x:c>
      <x:c r="S63" s="21" t="n">
        <x:v>0</x:v>
      </x:c>
      <x:c r="T63" s="21" t="n">
        <x:v>2</x:v>
      </x:c>
      <x:c r="U63" s="21" t="n">
        <x:v>0</x:v>
      </x:c>
      <x:c r="V63" s="21" t="str"/>
      <x:c r="W63" s="21" t="str"/>
      <x:c r="X63" s="21" t="str"/>
      <x:c r="Y63" s="21" t="str">
        <x:v>needs_geospatial_verification</x:v>
      </x:c>
      <x:c r="Z63" s="21" t="str">
        <x:v>BLOCKED</x:v>
      </x:c>
      <x:c r="AA63" s="21" t="n">
        <x:v>0</x:v>
      </x:c>
      <x:c r="AB63" s="21" t="str">
        <x:v>NO_APPROVED_MEDIA_ASSET</x:v>
      </x:c>
      <x:c r="AC63" s="21" t="str">
        <x:v>R9_0_0_UI_BUILT_PENDING_LOCAL_UAT</x:v>
      </x:c>
      <x:c r="AD63" s="21" t="str">
        <x:v>2026-08-02</x:v>
      </x:c>
      <x:c r="AE63" s="21" t="str">
        <x:v>BLOCKED</x:v>
      </x:c>
      <x:c r="AF63" s="21" t="str">
        <x:v>BLOCKED</x:v>
      </x:c>
      <x:c r="AG63" s="20" t="str">
        <x:v>expandedNarrative</x:v>
      </x:c>
      <x:c r="AH63" s="20" t="n">
        <x:v>2</x:v>
      </x:c>
      <x:c r="AI63" s="20" t="n">
        <x:v>1</x:v>
      </x:c>
      <x:c r="AJ63" s="20" t="str">
        <x:v>DEBUG_ONLY</x:v>
      </x:c>
      <x:c r="AK63" s="20" t="str">
        <x:v>BLOCKED</x:v>
      </x:c>
    </x:row>
    <x:row r="64">
      <x:c r="A64" s="21" t="str">
        <x:v>site-a86fc049d470</x:v>
      </x:c>
      <x:c r="B64" s="21" t="str">
        <x:v>tl-lsltn-ryh-lqdym-a86fc0</x:v>
      </x:c>
      <x:c r="C64" s="21" t="str">
        <x:v>تل السلطان (أريحا القديمة)</x:v>
      </x:c>
      <x:c r="D64" s="21" t="str">
        <x:v>Tell es-Sultan</x:v>
      </x:c>
      <x:c r="E64" s="21" t="str">
        <x:v>أريحا</x:v>
      </x:c>
      <x:c r="F64" s="21" t="str">
        <x:v>أريحا</x:v>
      </x:c>
      <x:c r="G64" s="21" t="str">
        <x:v>تل أثري</x:v>
      </x:c>
      <x:c r="H64" s="21" t="str">
        <x:v>canonical_identity_preserved_no_identity_decision</x:v>
      </x:c>
      <x:c r="I64" s="21" t="str"/>
      <x:c r="J64" s="21" t="str">
        <x:v>GOVERNED_DRAFT_PAGE</x:v>
      </x:c>
      <x:c r="K64" s="21" t="str">
        <x:v>IMPLEMENTED_PENDING_LOCAL_UAT</x:v>
      </x:c>
      <x:c r="L64" s="21" t="n">
        <x:v>3</x:v>
      </x:c>
      <x:c r="M64" s="21" t="n">
        <x:v>1</x:v>
      </x:c>
      <x:c r="N64" s="21" t="str">
        <x:v>AUTH-UNESCO-JERICHO-001</x:v>
      </x:c>
      <x:c r="O64" s="21" t="str"/>
      <x:c r="P64" s="21" t="n">
        <x:v>0</x:v>
      </x:c>
      <x:c r="Q64" s="21" t="n">
        <x:v>0</x:v>
      </x:c>
      <x:c r="R64" s="21" t="n">
        <x:v>0</x:v>
      </x:c>
      <x:c r="S64" s="21" t="n">
        <x:v>0</x:v>
      </x:c>
      <x:c r="T64" s="21" t="n">
        <x:v>0</x:v>
      </x:c>
      <x:c r="U64" s="21" t="n">
        <x:v>0</x:v>
      </x:c>
      <x:c r="V64" s="21" t="str"/>
      <x:c r="W64" s="21" t="str"/>
      <x:c r="X64" s="21" t="str">
        <x:v>site-b5f00132ee24</x:v>
      </x:c>
      <x:c r="Y64" s="21" t="str">
        <x:v>available_for_review</x:v>
      </x:c>
      <x:c r="Z64" s="21" t="str">
        <x:v>BLOCKED</x:v>
      </x:c>
      <x:c r="AA64" s="21" t="n">
        <x:v>0</x:v>
      </x:c>
      <x:c r="AB64" s="21" t="str">
        <x:v>NO_APPROVED_MEDIA_ASSET</x:v>
      </x:c>
      <x:c r="AC64" s="21" t="str">
        <x:v>R9_0_0_UI_BUILT_PENDING_LOCAL_UAT</x:v>
      </x:c>
      <x:c r="AD64" s="21" t="str">
        <x:v>2026-08-02</x:v>
      </x:c>
      <x:c r="AE64" s="21" t="str">
        <x:v>BLOCKED</x:v>
      </x:c>
      <x:c r="AF64" s="21" t="str">
        <x:v>BLOCKED</x:v>
      </x:c>
      <x:c r="AG64" s="20" t="str">
        <x:v>expandedNarrative</x:v>
      </x:c>
      <x:c r="AH64" s="20" t="n">
        <x:v>4</x:v>
      </x:c>
      <x:c r="AI64" s="20" t="n">
        <x:v>1</x:v>
      </x:c>
      <x:c r="AJ64" s="20" t="str">
        <x:v>DEBUG_ONLY</x:v>
      </x:c>
      <x:c r="AK64" s="20" t="str">
        <x:v>BLOCKED</x:v>
      </x:c>
    </x:row>
    <x:row r="65">
      <x:c r="A65" s="21" t="str">
        <x:v>site-cc4465115964</x:v>
      </x:c>
      <x:c r="B65" s="21" t="str">
        <x:v>dyr-qrntl-cc4465</x:v>
      </x:c>
      <x:c r="C65" s="21" t="str">
        <x:v>دير قرنطل</x:v>
      </x:c>
      <x:c r="D65" s="21" t="str"/>
      <x:c r="E65" s="21" t="str">
        <x:v>أريحا</x:v>
      </x:c>
      <x:c r="F65" s="21" t="str">
        <x:v>جبل الأربعين</x:v>
      </x:c>
      <x:c r="G65" s="21" t="str">
        <x:v>دير</x:v>
      </x:c>
      <x:c r="H65" s="21" t="str">
        <x:v>preserved_claim_level_review_only</x:v>
      </x:c>
      <x:c r="I65" s="21" t="str"/>
      <x:c r="J65" s="21" t="str">
        <x:v>GOVERNED_DRAFT_PAGE</x:v>
      </x:c>
      <x:c r="K65" s="21" t="str">
        <x:v>IMPLEMENTED_PENDING_LOCAL_UAT</x:v>
      </x:c>
      <x:c r="L65" s="21" t="n">
        <x:v>1</x:v>
      </x:c>
      <x:c r="M65" s="21" t="n">
        <x:v>1</x:v>
      </x:c>
      <x:c r="N65" s="21" t="str">
        <x:v>W5-AUTH-MOTA-QURUNTAL-001</x:v>
      </x:c>
      <x:c r="O65" s="21" t="str"/>
      <x:c r="P65" s="21" t="n">
        <x:v>3</x:v>
      </x:c>
      <x:c r="Q65" s="21" t="n">
        <x:v>0</x:v>
      </x:c>
      <x:c r="R65" s="21" t="n">
        <x:v>1</x:v>
      </x:c>
      <x:c r="S65" s="21" t="n">
        <x:v>0</x:v>
      </x:c>
      <x:c r="T65" s="21" t="n">
        <x:v>2</x:v>
      </x:c>
      <x:c r="U65" s="21" t="n">
        <x:v>0</x:v>
      </x:c>
      <x:c r="V65" s="21" t="str"/>
      <x:c r="W65" s="21" t="str"/>
      <x:c r="X65" s="21" t="str"/>
      <x:c r="Y65" s="21" t="str">
        <x:v>needs_geospatial_verification</x:v>
      </x:c>
      <x:c r="Z65" s="21" t="str">
        <x:v>BLOCKED</x:v>
      </x:c>
      <x:c r="AA65" s="21" t="n">
        <x:v>0</x:v>
      </x:c>
      <x:c r="AB65" s="21" t="str">
        <x:v>NO_APPROVED_MEDIA_ASSET</x:v>
      </x:c>
      <x:c r="AC65" s="21" t="str">
        <x:v>R9_0_0_UI_BUILT_PENDING_LOCAL_UAT</x:v>
      </x:c>
      <x:c r="AD65" s="21" t="str">
        <x:v>2026-08-02</x:v>
      </x:c>
      <x:c r="AE65" s="21" t="str">
        <x:v>BLOCKED</x:v>
      </x:c>
      <x:c r="AF65" s="21" t="str">
        <x:v>BLOCKED</x:v>
      </x:c>
      <x:c r="AG65" s="20" t="str">
        <x:v>expandedNarrative</x:v>
      </x:c>
      <x:c r="AH65" s="20" t="n">
        <x:v>3</x:v>
      </x:c>
      <x:c r="AI65" s="20" t="n">
        <x:v>1</x:v>
      </x:c>
      <x:c r="AJ65" s="20" t="str">
        <x:v>DEBUG_ONLY</x:v>
      </x:c>
      <x:c r="AK65" s="20" t="str">
        <x:v>BLOCKED</x:v>
      </x:c>
    </x:row>
    <x:row r="66">
      <x:c r="A66" s="21" t="str">
        <x:v>site-b5f00132ee24</x:v>
      </x:c>
      <x:c r="B66" s="21" t="str">
        <x:v>yn-lsltn-b5f001</x:v>
      </x:c>
      <x:c r="C66" s="21" t="str">
        <x:v>عين السلطان</x:v>
      </x:c>
      <x:c r="D66" s="21" t="str"/>
      <x:c r="E66" s="21" t="str">
        <x:v>أريحا</x:v>
      </x:c>
      <x:c r="F66" s="21" t="str">
        <x:v>أريحا</x:v>
      </x:c>
      <x:c r="G66" s="21" t="str">
        <x:v>نبع</x:v>
      </x:c>
      <x:c r="H66" s="21" t="str">
        <x:v>component_relation_approved</x:v>
      </x:c>
      <x:c r="I66" s="21" t="str"/>
      <x:c r="J66" s="21" t="str">
        <x:v>GOVERNED_DRAFT_PAGE</x:v>
      </x:c>
      <x:c r="K66" s="21" t="str">
        <x:v>IMPLEMENTED_PENDING_LOCAL_UAT</x:v>
      </x:c>
      <x:c r="L66" s="21" t="n">
        <x:v>1</x:v>
      </x:c>
      <x:c r="M66" s="21" t="n">
        <x:v>1</x:v>
      </x:c>
      <x:c r="N66" s="21" t="str">
        <x:v>W5-AUTH-UNESCO-JERICHO-001</x:v>
      </x:c>
      <x:c r="O66" s="21" t="str"/>
      <x:c r="P66" s="21" t="n">
        <x:v>3</x:v>
      </x:c>
      <x:c r="Q66" s="21" t="n">
        <x:v>0</x:v>
      </x:c>
      <x:c r="R66" s="21" t="n">
        <x:v>2</x:v>
      </x:c>
      <x:c r="S66" s="21" t="n">
        <x:v>1</x:v>
      </x:c>
      <x:c r="T66" s="21" t="n">
        <x:v>0</x:v>
      </x:c>
      <x:c r="U66" s="21" t="n">
        <x:v>0</x:v>
      </x:c>
      <x:c r="V66" s="21" t="str"/>
      <x:c r="W66" s="21" t="str">
        <x:v>site-a86fc049d470</x:v>
      </x:c>
      <x:c r="X66" s="21" t="str"/>
      <x:c r="Y66" s="21" t="str">
        <x:v>needs_geospatial_verification</x:v>
      </x:c>
      <x:c r="Z66" s="21" t="str">
        <x:v>BLOCKED</x:v>
      </x:c>
      <x:c r="AA66" s="21" t="n">
        <x:v>0</x:v>
      </x:c>
      <x:c r="AB66" s="21" t="str">
        <x:v>NO_APPROVED_MEDIA_ASSET</x:v>
      </x:c>
      <x:c r="AC66" s="21" t="str">
        <x:v>R9_0_0_UI_BUILT_PENDING_LOCAL_UAT</x:v>
      </x:c>
      <x:c r="AD66" s="21" t="str">
        <x:v>2026-08-02</x:v>
      </x:c>
      <x:c r="AE66" s="21" t="str">
        <x:v>BLOCKED</x:v>
      </x:c>
      <x:c r="AF66" s="21" t="str">
        <x:v>BLOCKED</x:v>
      </x:c>
      <x:c r="AG66" s="20" t="str">
        <x:v>catalogSummary</x:v>
      </x:c>
      <x:c r="AH66" s="20" t="n">
        <x:v>0</x:v>
      </x:c>
      <x:c r="AI66" s="20" t="n">
        <x:v>1</x:v>
      </x:c>
      <x:c r="AJ66" s="20" t="str">
        <x:v>DEBUG_ONLY</x:v>
      </x:c>
      <x:c r="AK66" s="20" t="str">
        <x:v>BLOCKED</x:v>
      </x:c>
    </x:row>
    <x:row r="67">
      <x:c r="A67" s="21" t="str">
        <x:v>site-ce23c41d7641</x:v>
      </x:c>
      <x:c r="B67" s="21" t="str">
        <x:v>qbr-lnby-mws-ce23c4</x:v>
      </x:c>
      <x:c r="C67" s="21" t="str">
        <x:v>قبر النبي موسى</x:v>
      </x:c>
      <x:c r="D67" s="21" t="str"/>
      <x:c r="E67" s="21" t="str">
        <x:v>أريحا</x:v>
      </x:c>
      <x:c r="F67" s="21" t="str">
        <x:v>أريحا (الطريق)</x:v>
      </x:c>
      <x:c r="G67" s="21" t="str">
        <x:v>مقام</x:v>
      </x:c>
      <x:c r="H67" s="21" t="str">
        <x:v>merge_alias_or_component_approved</x:v>
      </x:c>
      <x:c r="I67" s="21" t="str"/>
      <x:c r="J67" s="21" t="str">
        <x:v>GOVERNED_DRAFT_PAGE</x:v>
      </x:c>
      <x:c r="K67" s="21" t="str">
        <x:v>IMPLEMENTED_PENDING_LOCAL_UAT</x:v>
      </x:c>
      <x:c r="L67" s="21" t="n">
        <x:v>1</x:v>
      </x:c>
      <x:c r="M67" s="21" t="n">
        <x:v>1</x:v>
      </x:c>
      <x:c r="N67" s="21" t="str">
        <x:v>W5-AUTH-MOTA-NABI-MUSA-001</x:v>
      </x:c>
      <x:c r="O67" s="21" t="str"/>
      <x:c r="P67" s="21" t="n">
        <x:v>3</x:v>
      </x:c>
      <x:c r="Q67" s="21" t="n">
        <x:v>0</x:v>
      </x:c>
      <x:c r="R67" s="21" t="n">
        <x:v>2</x:v>
      </x:c>
      <x:c r="S67" s="21" t="n">
        <x:v>1</x:v>
      </x:c>
      <x:c r="T67" s="21" t="n">
        <x:v>0</x:v>
      </x:c>
      <x:c r="U67" s="21" t="n">
        <x:v>0</x:v>
      </x:c>
      <x:c r="V67" s="21" t="str"/>
      <x:c r="W67" s="21" t="str">
        <x:v>site-c4d8c9fdd1f0</x:v>
      </x:c>
      <x:c r="X67" s="21" t="str"/>
      <x:c r="Y67" s="21" t="str">
        <x:v>needs_geospatial_verification</x:v>
      </x:c>
      <x:c r="Z67" s="21" t="str">
        <x:v>BLOCKED</x:v>
      </x:c>
      <x:c r="AA67" s="21" t="n">
        <x:v>0</x:v>
      </x:c>
      <x:c r="AB67" s="21" t="str">
        <x:v>NO_APPROVED_MEDIA_ASSET</x:v>
      </x:c>
      <x:c r="AC67" s="21" t="str">
        <x:v>R9_0_0_UI_BUILT_PENDING_LOCAL_UAT</x:v>
      </x:c>
      <x:c r="AD67" s="21" t="str">
        <x:v>2026-08-02</x:v>
      </x:c>
      <x:c r="AE67" s="21" t="str">
        <x:v>BLOCKED</x:v>
      </x:c>
      <x:c r="AF67" s="21" t="str">
        <x:v>BLOCKED</x:v>
      </x:c>
      <x:c r="AG67" s="20" t="str">
        <x:v>catalogSummary</x:v>
      </x:c>
      <x:c r="AH67" s="20" t="n">
        <x:v>0</x:v>
      </x:c>
      <x:c r="AI67" s="20" t="n">
        <x:v>1</x:v>
      </x:c>
      <x:c r="AJ67" s="20" t="str">
        <x:v>DEBUG_ONLY</x:v>
      </x:c>
      <x:c r="AK67" s="20" t="str">
        <x:v>BLOCKED</x:v>
      </x:c>
    </x:row>
    <x:row r="68">
      <x:c r="A68" s="21" t="str">
        <x:v>site-0285c869e647</x:v>
      </x:c>
      <x:c r="B68" s="21" t="str">
        <x:v>qsr-hshm-khrb-lmfjr-0285c8</x:v>
      </x:c>
      <x:c r="C68" s="21" t="str">
        <x:v>قصر هشام (خربة المفجر)</x:v>
      </x:c>
      <x:c r="D68" s="21" t="str">
        <x:v>Hisham's Palace</x:v>
      </x:c>
      <x:c r="E68" s="21" t="str">
        <x:v>أريحا</x:v>
      </x:c>
      <x:c r="F68" s="21" t="str">
        <x:v>أريحا</x:v>
      </x:c>
      <x:c r="G68" s="21" t="str">
        <x:v>قصر أموي</x:v>
      </x:c>
      <x:c r="H68" s="21" t="str">
        <x:v>canonical_identity_preserved_no_identity_decision</x:v>
      </x:c>
      <x:c r="I68" s="21" t="str"/>
      <x:c r="J68" s="21" t="str">
        <x:v>GOVERNED_DRAFT_PAGE</x:v>
      </x:c>
      <x:c r="K68" s="21" t="str">
        <x:v>IMPLEMENTED_PENDING_LOCAL_UAT</x:v>
      </x:c>
      <x:c r="L68" s="21" t="n">
        <x:v>3</x:v>
      </x:c>
      <x:c r="M68" s="21" t="n">
        <x:v>1</x:v>
      </x:c>
      <x:c r="N68" s="21" t="str">
        <x:v>AUTH-UNESCO-HISHAM-001</x:v>
      </x:c>
      <x:c r="O68" s="21" t="str"/>
      <x:c r="P68" s="21" t="n">
        <x:v>0</x:v>
      </x:c>
      <x:c r="Q68" s="21" t="n">
        <x:v>0</x:v>
      </x:c>
      <x:c r="R68" s="21" t="n">
        <x:v>0</x:v>
      </x:c>
      <x:c r="S68" s="21" t="n">
        <x:v>0</x:v>
      </x:c>
      <x:c r="T68" s="21" t="n">
        <x:v>0</x:v>
      </x:c>
      <x:c r="U68" s="21" t="n">
        <x:v>0</x:v>
      </x:c>
      <x:c r="V68" s="21" t="str"/>
      <x:c r="W68" s="21" t="str"/>
      <x:c r="X68" s="21" t="str"/>
      <x:c r="Y68" s="21" t="str">
        <x:v>needs_geospatial_verification</x:v>
      </x:c>
      <x:c r="Z68" s="21" t="str">
        <x:v>BLOCKED</x:v>
      </x:c>
      <x:c r="AA68" s="21" t="n">
        <x:v>0</x:v>
      </x:c>
      <x:c r="AB68" s="21" t="str">
        <x:v>NO_APPROVED_MEDIA_ASSET</x:v>
      </x:c>
      <x:c r="AC68" s="21" t="str">
        <x:v>R9_0_0_UI_BUILT_PENDING_LOCAL_UAT</x:v>
      </x:c>
      <x:c r="AD68" s="21" t="str">
        <x:v>2026-08-02</x:v>
      </x:c>
      <x:c r="AE68" s="21" t="str">
        <x:v>BLOCKED</x:v>
      </x:c>
      <x:c r="AF68" s="21" t="str">
        <x:v>BLOCKED</x:v>
      </x:c>
      <x:c r="AG68" s="20" t="str">
        <x:v>expandedNarrative</x:v>
      </x:c>
      <x:c r="AH68" s="20" t="n">
        <x:v>2</x:v>
      </x:c>
      <x:c r="AI68" s="20" t="n">
        <x:v>2</x:v>
      </x:c>
      <x:c r="AJ68" s="20" t="str">
        <x:v>DEBUG_ONLY</x:v>
      </x:c>
      <x:c r="AK68" s="20" t="str">
        <x:v>BLOCKED</x:v>
      </x:c>
    </x:row>
    <x:row r="69">
      <x:c r="A69" s="21" t="str">
        <x:v>site-7551f628d089</x:v>
      </x:c>
      <x:c r="B69" s="21" t="str">
        <x:v>qn-wdy-lqlt-7551f6</x:v>
      </x:c>
      <x:c r="C69" s="21" t="str">
        <x:v>قناة وادي القلط</x:v>
      </x:c>
      <x:c r="D69" s="21" t="str"/>
      <x:c r="E69" s="21" t="str">
        <x:v>أريحا</x:v>
      </x:c>
      <x:c r="F69" s="21" t="str">
        <x:v>أريحا</x:v>
      </x:c>
      <x:c r="G69" s="21" t="str">
        <x:v>قناة</x:v>
      </x:c>
      <x:c r="H69" s="21" t="str">
        <x:v>canonical_identity_preserved_no_identity_decision</x:v>
      </x:c>
      <x:c r="I69" s="21" t="str">
        <x:v>RESEARCH_CONTEXT_ONLY</x:v>
      </x:c>
      <x:c r="J69" s="21" t="str">
        <x:v>LIMITED_RESEARCH_PAGE</x:v>
      </x:c>
      <x:c r="K69" s="21" t="str">
        <x:v>IMPLEMENTED_PENDING_LOCAL_UAT</x:v>
      </x:c>
      <x:c r="L69" s="21" t="n">
        <x:v>0</x:v>
      </x:c>
      <x:c r="M69" s="21" t="n">
        <x:v>0</x:v>
      </x:c>
      <x:c r="N69" s="21" t="str"/>
      <x:c r="O69" s="21" t="str"/>
      <x:c r="P69" s="21" t="n">
        <x:v>4</x:v>
      </x:c>
      <x:c r="Q69" s="21" t="n">
        <x:v>0</x:v>
      </x:c>
      <x:c r="R69" s="21" t="n">
        <x:v>2</x:v>
      </x:c>
      <x:c r="S69" s="21" t="n">
        <x:v>0</x:v>
      </x:c>
      <x:c r="T69" s="21" t="n">
        <x:v>2</x:v>
      </x:c>
      <x:c r="U69" s="21" t="n">
        <x:v>0</x:v>
      </x:c>
      <x:c r="V69" s="21" t="str"/>
      <x:c r="W69" s="21" t="str"/>
      <x:c r="X69" s="21" t="str"/>
      <x:c r="Y69" s="21" t="str">
        <x:v>needs_geospatial_verification</x:v>
      </x:c>
      <x:c r="Z69" s="21" t="str">
        <x:v>BLOCKED</x:v>
      </x:c>
      <x:c r="AA69" s="21" t="n">
        <x:v>0</x:v>
      </x:c>
      <x:c r="AB69" s="21" t="str">
        <x:v>NO_APPROVED_MEDIA_ASSET</x:v>
      </x:c>
      <x:c r="AC69" s="21" t="str">
        <x:v>R9_0_0_UI_BUILT_PENDING_LOCAL_UAT</x:v>
      </x:c>
      <x:c r="AD69" s="21" t="str">
        <x:v>2026-08-02</x:v>
      </x:c>
      <x:c r="AE69" s="21" t="str">
        <x:v>BLOCKED</x:v>
      </x:c>
      <x:c r="AF69" s="21" t="str">
        <x:v>BLOCKED</x:v>
      </x:c>
      <x:c r="AG69" s="20" t="str">
        <x:v>expandedNarrative</x:v>
      </x:c>
      <x:c r="AH69" s="20" t="n">
        <x:v>2</x:v>
      </x:c>
      <x:c r="AI69" s="20" t="n">
        <x:v>1</x:v>
      </x:c>
      <x:c r="AJ69" s="20" t="str">
        <x:v>DEBUG_ONLY</x:v>
      </x:c>
      <x:c r="AK69" s="20" t="str">
        <x:v>BLOCKED</x:v>
      </x:c>
    </x:row>
    <x:row r="70">
      <x:c r="A70" s="21" t="str">
        <x:v>site-c4d8c9fdd1f0</x:v>
      </x:c>
      <x:c r="B70" s="21" t="str">
        <x:v>mqm-lnby-mws-c4d8c9</x:v>
      </x:c>
      <x:c r="C70" s="21" t="str">
        <x:v>مقام النبي موسى</x:v>
      </x:c>
      <x:c r="D70" s="21" t="str"/>
      <x:c r="E70" s="21" t="str">
        <x:v>أريحا</x:v>
      </x:c>
      <x:c r="F70" s="21" t="str">
        <x:v>طريق القدس–أريحا</x:v>
      </x:c>
      <x:c r="G70" s="21" t="str">
        <x:v>مقام</x:v>
      </x:c>
      <x:c r="H70" s="21" t="str">
        <x:v>preserved_as_complex</x:v>
      </x:c>
      <x:c r="I70" s="21" t="str"/>
      <x:c r="J70" s="21" t="str">
        <x:v>GOVERNED_DRAFT_PAGE</x:v>
      </x:c>
      <x:c r="K70" s="21" t="str">
        <x:v>IMPLEMENTED_PENDING_LOCAL_UAT</x:v>
      </x:c>
      <x:c r="L70" s="21" t="n">
        <x:v>2</x:v>
      </x:c>
      <x:c r="M70" s="21" t="n">
        <x:v>2</x:v>
      </x:c>
      <x:c r="N70" s="21" t="str">
        <x:v>W5-AUTH-MOTA-NABI-MUSA-001; W5-AUTH-UNESCO-EL-BARIYAH-001</x:v>
      </x:c>
      <x:c r="O70" s="21" t="str">
        <x:v>P0-SRC-MOTA-NABI-MUSA</x:v>
      </x:c>
      <x:c r="P70" s="21" t="n">
        <x:v>3</x:v>
      </x:c>
      <x:c r="Q70" s="21" t="n">
        <x:v>1</x:v>
      </x:c>
      <x:c r="R70" s="21" t="n">
        <x:v>0</x:v>
      </x:c>
      <x:c r="S70" s="21" t="n">
        <x:v>0</x:v>
      </x:c>
      <x:c r="T70" s="21" t="n">
        <x:v>2</x:v>
      </x:c>
      <x:c r="U70" s="21" t="n">
        <x:v>1</x:v>
      </x:c>
      <x:c r="V70" s="21" t="str">
        <x:v>P0_PARTIAL_DOCUMENTARY_CLOSURE:site-c4d8c9fdd1f0-W5-H03</x:v>
      </x:c>
      <x:c r="W70" s="21" t="str"/>
      <x:c r="X70" s="21" t="str">
        <x:v>site-ce23c41d7641</x:v>
      </x:c>
      <x:c r="Y70" s="21" t="str">
        <x:v>needs_geospatial_verification</x:v>
      </x:c>
      <x:c r="Z70" s="21" t="str">
        <x:v>BLOCKED</x:v>
      </x:c>
      <x:c r="AA70" s="21" t="n">
        <x:v>0</x:v>
      </x:c>
      <x:c r="AB70" s="21" t="str">
        <x:v>NO_APPROVED_MEDIA_ASSET</x:v>
      </x:c>
      <x:c r="AC70" s="21" t="str">
        <x:v>R9_0_0_UI_BUILT_PENDING_LOCAL_UAT</x:v>
      </x:c>
      <x:c r="AD70" s="21" t="str">
        <x:v>2026-08-02</x:v>
      </x:c>
      <x:c r="AE70" s="21" t="str">
        <x:v>BLOCKED</x:v>
      </x:c>
      <x:c r="AF70" s="21" t="str">
        <x:v>BLOCKED</x:v>
      </x:c>
      <x:c r="AG70" s="20" t="str">
        <x:v>catalogSummary</x:v>
      </x:c>
      <x:c r="AH70" s="20" t="n">
        <x:v>0</x:v>
      </x:c>
      <x:c r="AI70" s="20" t="n">
        <x:v>1</x:v>
      </x:c>
      <x:c r="AJ70" s="20" t="str">
        <x:v>DEBUG_ONLY</x:v>
      </x:c>
      <x:c r="AK70" s="20" t="str">
        <x:v>BLOCKED</x:v>
      </x:c>
    </x:row>
    <x:row r="71">
      <x:c r="A71" s="21" t="str">
        <x:v>site-2e45744cdab4</x:v>
      </x:c>
      <x:c r="B71" s="21" t="str">
        <x:v>lmsjd-l-mry-lkbyr-2e4574</x:v>
      </x:c>
      <x:c r="C71" s="21" t="str">
        <x:v>المسجد العمري الكبير</x:v>
      </x:c>
      <x:c r="D71" s="21" t="str">
        <x:v>Great Omari Mosque</x:v>
      </x:c>
      <x:c r="E71" s="21" t="str">
        <x:v>غزة</x:v>
      </x:c>
      <x:c r="F71" s="21" t="str">
        <x:v>غزة (البلدة القديمة)</x:v>
      </x:c>
      <x:c r="G71" s="21" t="str">
        <x:v>مسجد</x:v>
      </x:c>
      <x:c r="H71" s="21" t="str">
        <x:v>canonical_identity_preserved_no_identity_decision</x:v>
      </x:c>
      <x:c r="I71" s="21" t="str"/>
      <x:c r="J71" s="21" t="str">
        <x:v>GOVERNED_DRAFT_PAGE</x:v>
      </x:c>
      <x:c r="K71" s="21" t="str">
        <x:v>IMPLEMENTED_PENDING_LOCAL_UAT</x:v>
      </x:c>
      <x:c r="L71" s="21" t="n">
        <x:v>2</x:v>
      </x:c>
      <x:c r="M71" s="21" t="n">
        <x:v>2</x:v>
      </x:c>
      <x:c r="N71" s="21" t="str">
        <x:v>W3-AUTH-UNESCO-GAZA-HISTORIC-CENTRE-2026; W3-AUTH-UNESCO-GAZA-IMPACT-2026</x:v>
      </x:c>
      <x:c r="O71" s="21" t="str">
        <x:v>P0-SRC-UNESCO-GAZA-ASSESSMENT-2026</x:v>
      </x:c>
      <x:c r="P71" s="21" t="n">
        <x:v>3</x:v>
      </x:c>
      <x:c r="Q71" s="21" t="n">
        <x:v>2</x:v>
      </x:c>
      <x:c r="R71" s="21" t="n">
        <x:v>0</x:v>
      </x:c>
      <x:c r="S71" s="21" t="n">
        <x:v>1</x:v>
      </x:c>
      <x:c r="T71" s="21" t="n">
        <x:v>0</x:v>
      </x:c>
      <x:c r="U71" s="21" t="n">
        <x:v>2</x:v>
      </x:c>
      <x:c r="V71" s="21" t="str">
        <x:v>P0_FIELD_ENGINEERING_REQUIRED:site-2e45744cdab4-W3-H02; P0_SOURCE_GAP_REMAINS:site-2e45744cdab4-W3-H03</x:v>
      </x:c>
      <x:c r="W71" s="21" t="str"/>
      <x:c r="X71" s="21" t="str"/>
      <x:c r="Y71" s="21" t="str">
        <x:v>needs_geospatial_verification</x:v>
      </x:c>
      <x:c r="Z71" s="21" t="str">
        <x:v>BLOCKED</x:v>
      </x:c>
      <x:c r="AA71" s="21" t="n">
        <x:v>0</x:v>
      </x:c>
      <x:c r="AB71" s="21" t="str">
        <x:v>NO_APPROVED_MEDIA_ASSET</x:v>
      </x:c>
      <x:c r="AC71" s="21" t="str">
        <x:v>R9_0_0_UI_BUILT_PENDING_LOCAL_UAT</x:v>
      </x:c>
      <x:c r="AD71" s="21" t="str">
        <x:v>2026-08-02</x:v>
      </x:c>
      <x:c r="AE71" s="21" t="str">
        <x:v>BLOCKED</x:v>
      </x:c>
      <x:c r="AF71" s="21" t="str">
        <x:v>BLOCKED</x:v>
      </x:c>
      <x:c r="AG71" s="20" t="str">
        <x:v>expandedNarrative</x:v>
      </x:c>
      <x:c r="AH71" s="20" t="n">
        <x:v>2</x:v>
      </x:c>
      <x:c r="AI71" s="20" t="n">
        <x:v>1</x:v>
      </x:c>
      <x:c r="AJ71" s="20" t="str">
        <x:v>DEBUG_ONLY</x:v>
      </x:c>
      <x:c r="AK71" s="20" t="str">
        <x:v>BLOCKED</x:v>
      </x:c>
    </x:row>
    <x:row r="72">
      <x:c r="A72" s="21" t="str">
        <x:v>site-21150eefdea6</x:v>
      </x:c>
      <x:c r="B72" s="21" t="str">
        <x:v>tl-l-jwl-mdyn-gz-lqdym-21150e</x:v>
      </x:c>
      <x:c r="C72" s="21" t="str">
        <x:v>تل العجول</x:v>
      </x:c>
      <x:c r="D72" s="21" t="str"/>
      <x:c r="E72" s="21" t="str">
        <x:v>غزة</x:v>
      </x:c>
      <x:c r="F72" s="21" t="str">
        <x:v>غزة</x:v>
      </x:c>
      <x:c r="G72" s="21" t="str">
        <x:v>تل أثري</x:v>
      </x:c>
      <x:c r="H72" s="21" t="str">
        <x:v>split_required_parent_retained</x:v>
      </x:c>
      <x:c r="I72" s="21" t="str"/>
      <x:c r="J72" s="21" t="str">
        <x:v>GOVERNED_DRAFT_PAGE</x:v>
      </x:c>
      <x:c r="K72" s="21" t="str">
        <x:v>IMPLEMENTED_PENDING_LOCAL_UAT</x:v>
      </x:c>
      <x:c r="L72" s="21" t="n">
        <x:v>2</x:v>
      </x:c>
      <x:c r="M72" s="21" t="n">
        <x:v>3</x:v>
      </x:c>
      <x:c r="N72" s="21" t="str">
        <x:v>W3-AUTH-BM-TELL-AJJUL-COLLECTION; W3-AUTH-UCL-TELL-AJJUL-2021; W3-AUTH-UNESCO-GAZA-IMPACT-2026</x:v>
      </x:c>
      <x:c r="O72" s="21" t="str">
        <x:v>P0-SRC-UNESCO-GAZA-ASSESSMENT-2026</x:v>
      </x:c>
      <x:c r="P72" s="21" t="n">
        <x:v>3</x:v>
      </x:c>
      <x:c r="Q72" s="21" t="n">
        <x:v>1</x:v>
      </x:c>
      <x:c r="R72" s="21" t="n">
        <x:v>1</x:v>
      </x:c>
      <x:c r="S72" s="21" t="n">
        <x:v>1</x:v>
      </x:c>
      <x:c r="T72" s="21" t="n">
        <x:v>0</x:v>
      </x:c>
      <x:c r="U72" s="21" t="n">
        <x:v>1</x:v>
      </x:c>
      <x:c r="V72" s="21" t="str">
        <x:v>P0_FIELD_ENGINEERING_REQUIRED:site-21150eefdea6-W3-H03</x:v>
      </x:c>
      <x:c r="W72" s="21" t="str"/>
      <x:c r="X72" s="21" t="str"/>
      <x:c r="Y72" s="21" t="str">
        <x:v>needs_geospatial_verification</x:v>
      </x:c>
      <x:c r="Z72" s="21" t="str">
        <x:v>BLOCKED</x:v>
      </x:c>
      <x:c r="AA72" s="21" t="n">
        <x:v>0</x:v>
      </x:c>
      <x:c r="AB72" s="21" t="str">
        <x:v>NO_APPROVED_MEDIA_ASSET</x:v>
      </x:c>
      <x:c r="AC72" s="21" t="str">
        <x:v>R9_0_0_UI_BUILT_PENDING_LOCAL_UAT</x:v>
      </x:c>
      <x:c r="AD72" s="21" t="str">
        <x:v>2026-08-02</x:v>
      </x:c>
      <x:c r="AE72" s="21" t="str">
        <x:v>BLOCKED</x:v>
      </x:c>
      <x:c r="AF72" s="21" t="str">
        <x:v>BLOCKED</x:v>
      </x:c>
      <x:c r="AG72" s="20" t="str">
        <x:v>expandedNarrative</x:v>
      </x:c>
      <x:c r="AH72" s="20" t="n">
        <x:v>3</x:v>
      </x:c>
      <x:c r="AI72" s="20" t="n">
        <x:v>1</x:v>
      </x:c>
      <x:c r="AJ72" s="20" t="str">
        <x:v>DEBUG_ONLY</x:v>
      </x:c>
      <x:c r="AK72" s="20" t="str">
        <x:v>BLOCKED</x:v>
      </x:c>
    </x:row>
    <x:row r="73">
      <x:c r="A73" s="21" t="str">
        <x:v>site-3ded44be126d</x:v>
      </x:c>
      <x:c r="B73" s="21" t="str">
        <x:v>hmm-lsmr-3ded44</x:v>
      </x:c>
      <x:c r="C73" s="21" t="str">
        <x:v>حمام السمرة</x:v>
      </x:c>
      <x:c r="D73" s="21" t="str"/>
      <x:c r="E73" s="21" t="str">
        <x:v>غزة</x:v>
      </x:c>
      <x:c r="F73" s="21" t="str">
        <x:v>غزة</x:v>
      </x:c>
      <x:c r="G73" s="21" t="str">
        <x:v>حمام</x:v>
      </x:c>
      <x:c r="H73" s="21" t="str">
        <x:v>canonical_identity_preserved_no_identity_decision</x:v>
      </x:c>
      <x:c r="I73" s="21" t="str"/>
      <x:c r="J73" s="21" t="str">
        <x:v>GOVERNED_DRAFT_PAGE</x:v>
      </x:c>
      <x:c r="K73" s="21" t="str">
        <x:v>IMPLEMENTED_PENDING_LOCAL_UAT</x:v>
      </x:c>
      <x:c r="L73" s="21" t="n">
        <x:v>2</x:v>
      </x:c>
      <x:c r="M73" s="21" t="n">
        <x:v>2</x:v>
      </x:c>
      <x:c r="N73" s="21" t="str">
        <x:v>W3-AUTH-UNESCO-GAZA-IMPACT-2026; W3-AUTH-UNESCO-PALESTINE-CULTURAL-REPORT-2023</x:v>
      </x:c>
      <x:c r="O73" s="21" t="str">
        <x:v>P0-SRC-UNESCO-GAZA-ASSESSMENT-2026</x:v>
      </x:c>
      <x:c r="P73" s="21" t="n">
        <x:v>3</x:v>
      </x:c>
      <x:c r="Q73" s="21" t="n">
        <x:v>2</x:v>
      </x:c>
      <x:c r="R73" s="21" t="n">
        <x:v>0</x:v>
      </x:c>
      <x:c r="S73" s="21" t="n">
        <x:v>1</x:v>
      </x:c>
      <x:c r="T73" s="21" t="n">
        <x:v>0</x:v>
      </x:c>
      <x:c r="U73" s="21" t="n">
        <x:v>2</x:v>
      </x:c>
      <x:c r="V73" s="21" t="str">
        <x:v>P0_FIELD_ENGINEERING_REQUIRED:site-3ded44be126d-W3-H02; P0_SOURCE_GAP_REMAINS:site-3ded44be126d-W3-H03</x:v>
      </x:c>
      <x:c r="W73" s="21" t="str"/>
      <x:c r="X73" s="21" t="str"/>
      <x:c r="Y73" s="21" t="str">
        <x:v>needs_geospatial_verification</x:v>
      </x:c>
      <x:c r="Z73" s="21" t="str">
        <x:v>BLOCKED</x:v>
      </x:c>
      <x:c r="AA73" s="21" t="n">
        <x:v>0</x:v>
      </x:c>
      <x:c r="AB73" s="21" t="str">
        <x:v>NO_APPROVED_MEDIA_ASSET</x:v>
      </x:c>
      <x:c r="AC73" s="21" t="str">
        <x:v>R9_0_0_UI_BUILT_PENDING_LOCAL_UAT</x:v>
      </x:c>
      <x:c r="AD73" s="21" t="str">
        <x:v>2026-08-02</x:v>
      </x:c>
      <x:c r="AE73" s="21" t="str">
        <x:v>BLOCKED</x:v>
      </x:c>
      <x:c r="AF73" s="21" t="str">
        <x:v>BLOCKED</x:v>
      </x:c>
      <x:c r="AG73" s="20" t="str">
        <x:v>catalogSummary</x:v>
      </x:c>
      <x:c r="AH73" s="20" t="n">
        <x:v>0</x:v>
      </x:c>
      <x:c r="AI73" s="20" t="n">
        <x:v>1</x:v>
      </x:c>
      <x:c r="AJ73" s="20" t="str">
        <x:v>DEBUG_ONLY</x:v>
      </x:c>
      <x:c r="AK73" s="20" t="str">
        <x:v>BLOCKED</x:v>
      </x:c>
    </x:row>
    <x:row r="74">
      <x:c r="A74" s="21" t="str">
        <x:v>site-5e98cf44d976</x:v>
      </x:c>
      <x:c r="B74" s="21" t="str">
        <x:v>ql-brqwq-5e98cf</x:v>
      </x:c>
      <x:c r="C74" s="21" t="str">
        <x:v>قلعة برقوق</x:v>
      </x:c>
      <x:c r="D74" s="21" t="str"/>
      <x:c r="E74" s="21" t="str">
        <x:v>غزة</x:v>
      </x:c>
      <x:c r="F74" s="21" t="str">
        <x:v>غزة</x:v>
      </x:c>
      <x:c r="G74" s="21" t="str">
        <x:v>قلعة</x:v>
      </x:c>
      <x:c r="H74" s="21" t="str">
        <x:v>component_relation_approved</x:v>
      </x:c>
      <x:c r="I74" s="21" t="str"/>
      <x:c r="J74" s="21" t="str">
        <x:v>GOVERNED_DRAFT_PAGE</x:v>
      </x:c>
      <x:c r="K74" s="21" t="str">
        <x:v>IMPLEMENTED_PENDING_LOCAL_UAT</x:v>
      </x:c>
      <x:c r="L74" s="21" t="n">
        <x:v>2</x:v>
      </x:c>
      <x:c r="M74" s="21" t="n">
        <x:v>2</x:v>
      </x:c>
      <x:c r="N74" s="21" t="str">
        <x:v>W3-AUTH-UNESCO-GAZA-IMPACT-2026; W3-AUTH-UNESCO-PALESTINE-CULTURAL-REPORT-2023</x:v>
      </x:c>
      <x:c r="O74" s="21" t="str">
        <x:v>P0-SRC-UNESCO-GAZA-ASSESSMENT-2026</x:v>
      </x:c>
      <x:c r="P74" s="21" t="n">
        <x:v>3</x:v>
      </x:c>
      <x:c r="Q74" s="21" t="n">
        <x:v>1</x:v>
      </x:c>
      <x:c r="R74" s="21" t="n">
        <x:v>2</x:v>
      </x:c>
      <x:c r="S74" s="21" t="n">
        <x:v>0</x:v>
      </x:c>
      <x:c r="T74" s="21" t="n">
        <x:v>0</x:v>
      </x:c>
      <x:c r="U74" s="21" t="n">
        <x:v>1</x:v>
      </x:c>
      <x:c r="V74" s="21" t="str">
        <x:v>P0_FIELD_ENGINEERING_REQUIRED:site-5e98cf44d976-W3-H03</x:v>
      </x:c>
      <x:c r="W74" s="21" t="str">
        <x:v>site-0a78d22c1a69</x:v>
      </x:c>
      <x:c r="X74" s="21" t="str"/>
      <x:c r="Y74" s="21" t="str">
        <x:v>needs_geospatial_verification</x:v>
      </x:c>
      <x:c r="Z74" s="21" t="str">
        <x:v>BLOCKED</x:v>
      </x:c>
      <x:c r="AA74" s="21" t="n">
        <x:v>0</x:v>
      </x:c>
      <x:c r="AB74" s="21" t="str">
        <x:v>NO_APPROVED_MEDIA_ASSET</x:v>
      </x:c>
      <x:c r="AC74" s="21" t="str">
        <x:v>R9_0_0_UI_BUILT_PENDING_LOCAL_UAT</x:v>
      </x:c>
      <x:c r="AD74" s="21" t="str">
        <x:v>2026-08-02</x:v>
      </x:c>
      <x:c r="AE74" s="21" t="str">
        <x:v>BLOCKED</x:v>
      </x:c>
      <x:c r="AF74" s="21" t="str">
        <x:v>BLOCKED</x:v>
      </x:c>
      <x:c r="AG74" s="20" t="str">
        <x:v>catalogSummary</x:v>
      </x:c>
      <x:c r="AH74" s="20" t="n">
        <x:v>0</x:v>
      </x:c>
      <x:c r="AI74" s="20" t="n">
        <x:v>1</x:v>
      </x:c>
      <x:c r="AJ74" s="20" t="str">
        <x:v>DEBUG_ONLY</x:v>
      </x:c>
      <x:c r="AK74" s="20" t="str">
        <x:v>BLOCKED</x:v>
      </x:c>
    </x:row>
    <x:row r="75">
      <x:c r="A75" s="21" t="str">
        <x:v>site-e1e3de7b8519</x:v>
      </x:c>
      <x:c r="B75" s="21" t="str">
        <x:v>knys-lqdys-brfyryws-e1e3de</x:v>
      </x:c>
      <x:c r="C75" s="21" t="str">
        <x:v>كنيسة القديس برفيريوس</x:v>
      </x:c>
      <x:c r="D75" s="21" t="str"/>
      <x:c r="E75" s="21" t="str">
        <x:v>غزة</x:v>
      </x:c>
      <x:c r="F75" s="21" t="str">
        <x:v>غزة</x:v>
      </x:c>
      <x:c r="G75" s="21" t="str">
        <x:v>كنيسة</x:v>
      </x:c>
      <x:c r="H75" s="21" t="str">
        <x:v>preserved_claim_level_review_only</x:v>
      </x:c>
      <x:c r="I75" s="21" t="str"/>
      <x:c r="J75" s="21" t="str">
        <x:v>GOVERNED_DRAFT_PAGE</x:v>
      </x:c>
      <x:c r="K75" s="21" t="str">
        <x:v>IMPLEMENTED_PENDING_LOCAL_UAT</x:v>
      </x:c>
      <x:c r="L75" s="21" t="n">
        <x:v>2</x:v>
      </x:c>
      <x:c r="M75" s="21" t="n">
        <x:v>3</x:v>
      </x:c>
      <x:c r="N75" s="21" t="str">
        <x:v>W3-AUTH-JERUSALEM-PATRIARCHATE-PORPHYRIOS; W3-AUTH-UNESCO-GAZA-HISTORIC-CENTRE-2026; W3-AUTH-UNESCO-GAZA-IMPACT-2026</x:v>
      </x:c>
      <x:c r="O75" s="21" t="str">
        <x:v>P0-SRC-UNESCO-GAZA-ASSESSMENT-2026</x:v>
      </x:c>
      <x:c r="P75" s="21" t="n">
        <x:v>3</x:v>
      </x:c>
      <x:c r="Q75" s="21" t="n">
        <x:v>2</x:v>
      </x:c>
      <x:c r="R75" s="21" t="n">
        <x:v>0</x:v>
      </x:c>
      <x:c r="S75" s="21" t="n">
        <x:v>1</x:v>
      </x:c>
      <x:c r="T75" s="21" t="n">
        <x:v>0</x:v>
      </x:c>
      <x:c r="U75" s="21" t="n">
        <x:v>2</x:v>
      </x:c>
      <x:c r="V75" s="21" t="str">
        <x:v>P0_FIELD_ENGINEERING_REQUIRED:site-e1e3de7b8519-W3-H03; P0_FIELD_ENGINEERING_REQUIRED:site-e1e3de7b8519-W3-H02</x:v>
      </x:c>
      <x:c r="W75" s="21" t="str"/>
      <x:c r="X75" s="21" t="str"/>
      <x:c r="Y75" s="21" t="str">
        <x:v>needs_geospatial_verification</x:v>
      </x:c>
      <x:c r="Z75" s="21" t="str">
        <x:v>BLOCKED</x:v>
      </x:c>
      <x:c r="AA75" s="21" t="n">
        <x:v>0</x:v>
      </x:c>
      <x:c r="AB75" s="21" t="str">
        <x:v>NO_APPROVED_MEDIA_ASSET</x:v>
      </x:c>
      <x:c r="AC75" s="21" t="str">
        <x:v>R9_0_0_UI_BUILT_PENDING_LOCAL_UAT</x:v>
      </x:c>
      <x:c r="AD75" s="21" t="str">
        <x:v>2026-08-02</x:v>
      </x:c>
      <x:c r="AE75" s="21" t="str">
        <x:v>BLOCKED</x:v>
      </x:c>
      <x:c r="AF75" s="21" t="str">
        <x:v>BLOCKED</x:v>
      </x:c>
      <x:c r="AG75" s="20" t="str">
        <x:v>expandedNarrative</x:v>
      </x:c>
      <x:c r="AH75" s="20" t="n">
        <x:v>3</x:v>
      </x:c>
      <x:c r="AI75" s="20" t="n">
        <x:v>1</x:v>
      </x:c>
      <x:c r="AJ75" s="20" t="str">
        <x:v>DEBUG_ONLY</x:v>
      </x:c>
      <x:c r="AK75" s="20" t="str">
        <x:v>BLOCKED</x:v>
      </x:c>
    </x:row>
    <x:row r="76">
      <x:c r="A76" s="21" t="str">
        <x:v>site-015f495c4236</x:v>
      </x:c>
      <x:c r="B76" s="21" t="str">
        <x:v>mdyn-gz-lqdym-015f49</x:v>
      </x:c>
      <x:c r="C76" s="21" t="str">
        <x:v>مدينة غزة القديمة</x:v>
      </x:c>
      <x:c r="D76" s="21" t="str">
        <x:v>Old City of Gaza</x:v>
      </x:c>
      <x:c r="E76" s="21" t="str">
        <x:v>غزة</x:v>
      </x:c>
      <x:c r="F76" s="21" t="str">
        <x:v>البلدة القديمة</x:v>
      </x:c>
      <x:c r="G76" s="21" t="str">
        <x:v>عنقود عمراني تاريخي</x:v>
      </x:c>
      <x:c r="H76" s="21" t="str">
        <x:v>reclassified_to_governed_cluster</x:v>
      </x:c>
      <x:c r="I76" s="21" t="str"/>
      <x:c r="J76" s="21" t="str">
        <x:v>GOVERNED_DRAFT_PAGE</x:v>
      </x:c>
      <x:c r="K76" s="21" t="str">
        <x:v>IMPLEMENTED_PENDING_LOCAL_UAT</x:v>
      </x:c>
      <x:c r="L76" s="21" t="n">
        <x:v>2</x:v>
      </x:c>
      <x:c r="M76" s="21" t="n">
        <x:v>2</x:v>
      </x:c>
      <x:c r="N76" s="21" t="str">
        <x:v>W3-AUTH-UNESCO-GAZA-HISTORIC-CENTRE-2026; W3-AUTH-UNESCO-GAZA-IMPACT-2026</x:v>
      </x:c>
      <x:c r="O76" s="21" t="str">
        <x:v>P0-SRC-UNESCO-GAZA-ASSESSMENT-2026; P0-SRC-UNESCO-GAZA-HISTORIC-CENTRE</x:v>
      </x:c>
      <x:c r="P76" s="21" t="n">
        <x:v>3</x:v>
      </x:c>
      <x:c r="Q76" s="21" t="n">
        <x:v>1</x:v>
      </x:c>
      <x:c r="R76" s="21" t="n">
        <x:v>0</x:v>
      </x:c>
      <x:c r="S76" s="21" t="n">
        <x:v>2</x:v>
      </x:c>
      <x:c r="T76" s="21" t="n">
        <x:v>0</x:v>
      </x:c>
      <x:c r="U76" s="21" t="n">
        <x:v>1</x:v>
      </x:c>
      <x:c r="V76" s="21" t="str">
        <x:v>P0_FIELD_ENGINEERING_REQUIRED:site-015f495c4236-W3-H02</x:v>
      </x:c>
      <x:c r="W76" s="21" t="str"/>
      <x:c r="X76" s="21" t="str"/>
      <x:c r="Y76" s="21" t="str">
        <x:v>needs_geospatial_verification</x:v>
      </x:c>
      <x:c r="Z76" s="21" t="str">
        <x:v>BLOCKED</x:v>
      </x:c>
      <x:c r="AA76" s="21" t="n">
        <x:v>0</x:v>
      </x:c>
      <x:c r="AB76" s="21" t="str">
        <x:v>NO_APPROVED_MEDIA_ASSET</x:v>
      </x:c>
      <x:c r="AC76" s="21" t="str">
        <x:v>R9_0_0_UI_BUILT_PENDING_LOCAL_UAT</x:v>
      </x:c>
      <x:c r="AD76" s="21" t="str">
        <x:v>2026-08-02</x:v>
      </x:c>
      <x:c r="AE76" s="21" t="str">
        <x:v>BLOCKED</x:v>
      </x:c>
      <x:c r="AF76" s="21" t="str">
        <x:v>BLOCKED</x:v>
      </x:c>
      <x:c r="AG76" s="20" t="str">
        <x:v>expandedNarrative</x:v>
      </x:c>
      <x:c r="AH76" s="20" t="n">
        <x:v>5</x:v>
      </x:c>
      <x:c r="AI76" s="20" t="n">
        <x:v>1</x:v>
      </x:c>
      <x:c r="AJ76" s="20" t="str">
        <x:v>DEBUG_ONLY</x:v>
      </x:c>
      <x:c r="AK76" s="20" t="str">
        <x:v>BLOCKED</x:v>
      </x:c>
    </x:row>
    <x:row r="77">
      <x:c r="A77" s="21" t="str">
        <x:v>site-a77381cd3cae</x:v>
      </x:c>
      <x:c r="B77" s="21" t="str">
        <x:v>mqm-lshykh-rdwn-a77381</x:v>
      </x:c>
      <x:c r="C77" s="21" t="str">
        <x:v>مقام الشيخ رضوان</x:v>
      </x:c>
      <x:c r="D77" s="21" t="str"/>
      <x:c r="E77" s="21" t="str">
        <x:v>غزة</x:v>
      </x:c>
      <x:c r="F77" s="21" t="str">
        <x:v>غزة</x:v>
      </x:c>
      <x:c r="G77" s="21" t="str">
        <x:v>مقام</x:v>
      </x:c>
      <x:c r="H77" s="21" t="str">
        <x:v>canonical_identity_preserved_no_identity_decision</x:v>
      </x:c>
      <x:c r="I77" s="21" t="str"/>
      <x:c r="J77" s="21" t="str">
        <x:v>LIMITED_RESEARCH_PAGE</x:v>
      </x:c>
      <x:c r="K77" s="21" t="str">
        <x:v>IMPLEMENTED_PENDING_LOCAL_UAT</x:v>
      </x:c>
      <x:c r="L77" s="21" t="n">
        <x:v>0</x:v>
      </x:c>
      <x:c r="M77" s="21" t="n">
        <x:v>0</x:v>
      </x:c>
      <x:c r="N77" s="21" t="str"/>
      <x:c r="O77" s="21" t="str">
        <x:v>P0-SRC-UNESCO-GAZA-ASSESSMENT-2026</x:v>
      </x:c>
      <x:c r="P77" s="21" t="n">
        <x:v>4</x:v>
      </x:c>
      <x:c r="Q77" s="21" t="n">
        <x:v>2</x:v>
      </x:c>
      <x:c r="R77" s="21" t="n">
        <x:v>0</x:v>
      </x:c>
      <x:c r="S77" s="21" t="n">
        <x:v>1</x:v>
      </x:c>
      <x:c r="T77" s="21" t="n">
        <x:v>1</x:v>
      </x:c>
      <x:c r="U77" s="21" t="n">
        <x:v>2</x:v>
      </x:c>
      <x:c r="V77" s="21" t="str">
        <x:v>P0_SOURCE_GAP_REMAINS:site-a77381cd3cae-W3-H01; P0_FIELD_ENGINEERING_REQUIRED:site-a77381cd3cae-W3-H04</x:v>
      </x:c>
      <x:c r="W77" s="21" t="str"/>
      <x:c r="X77" s="21" t="str"/>
      <x:c r="Y77" s="21" t="str">
        <x:v>needs_geospatial_verification</x:v>
      </x:c>
      <x:c r="Z77" s="21" t="str">
        <x:v>BLOCKED</x:v>
      </x:c>
      <x:c r="AA77" s="21" t="n">
        <x:v>0</x:v>
      </x:c>
      <x:c r="AB77" s="21" t="str">
        <x:v>NO_APPROVED_MEDIA_ASSET</x:v>
      </x:c>
      <x:c r="AC77" s="21" t="str">
        <x:v>R9_0_0_UI_BUILT_PENDING_LOCAL_UAT</x:v>
      </x:c>
      <x:c r="AD77" s="21" t="str">
        <x:v>2026-08-02</x:v>
      </x:c>
      <x:c r="AE77" s="21" t="str">
        <x:v>BLOCKED</x:v>
      </x:c>
      <x:c r="AF77" s="21" t="str">
        <x:v>BLOCKED</x:v>
      </x:c>
      <x:c r="AG77" s="20" t="str">
        <x:v>catalogSummary</x:v>
      </x:c>
      <x:c r="AH77" s="20" t="n">
        <x:v>0</x:v>
      </x:c>
      <x:c r="AI77" s="20" t="n">
        <x:v>1</x:v>
      </x:c>
      <x:c r="AJ77" s="20" t="str">
        <x:v>DEBUG_ONLY</x:v>
      </x:c>
      <x:c r="AK77" s="20" t="str">
        <x:v>BLOCKED</x:v>
      </x:c>
    </x:row>
    <x:row r="78">
      <x:c r="A78" s="21" t="str">
        <x:v>site-99f520b3d607</x:v>
      </x:c>
      <x:c r="B78" s="21" t="str">
        <x:v>myn-gz-lqdym-l-nt-99f520</x:v>
      </x:c>
      <x:c r="C78" s="21" t="str">
        <x:v>ميناء غزة القديم (الأنطة)</x:v>
      </x:c>
      <x:c r="D78" s="21" t="str"/>
      <x:c r="E78" s="21" t="str">
        <x:v>غزة</x:v>
      </x:c>
      <x:c r="F78" s="21" t="str">
        <x:v>غزة</x:v>
      </x:c>
      <x:c r="G78" s="21" t="str">
        <x:v>ميناء</x:v>
      </x:c>
      <x:c r="H78" s="21" t="str">
        <x:v>canonical_identity_preserved_no_identity_decision</x:v>
      </x:c>
      <x:c r="I78" s="21" t="str"/>
      <x:c r="J78" s="21" t="str">
        <x:v>GOVERNED_DRAFT_PAGE</x:v>
      </x:c>
      <x:c r="K78" s="21" t="str">
        <x:v>IMPLEMENTED_PENDING_LOCAL_UAT</x:v>
      </x:c>
      <x:c r="L78" s="21" t="n">
        <x:v>2</x:v>
      </x:c>
      <x:c r="M78" s="21" t="n">
        <x:v>2</x:v>
      </x:c>
      <x:c r="N78" s="21" t="str">
        <x:v>W3-AUTH-UNESCO-ANTHEDON-2012; W3-AUTH-UNESCO-GAZA-IMPACT-2026</x:v>
      </x:c>
      <x:c r="O78" s="21" t="str">
        <x:v>P0-SRC-UNESCO-ANTHEDON; P0-SRC-UNESCO-GAZA-ASSESSMENT-2026</x:v>
      </x:c>
      <x:c r="P78" s="21" t="n">
        <x:v>3</x:v>
      </x:c>
      <x:c r="Q78" s="21" t="n">
        <x:v>1</x:v>
      </x:c>
      <x:c r="R78" s="21" t="n">
        <x:v>2</x:v>
      </x:c>
      <x:c r="S78" s="21" t="n">
        <x:v>0</x:v>
      </x:c>
      <x:c r="T78" s="21" t="n">
        <x:v>0</x:v>
      </x:c>
      <x:c r="U78" s="21" t="n">
        <x:v>1</x:v>
      </x:c>
      <x:c r="V78" s="21" t="str">
        <x:v>P0_FIELD_ENGINEERING_REQUIRED:site-99f520b3d607-W3-H03</x:v>
      </x:c>
      <x:c r="W78" s="21" t="str"/>
      <x:c r="X78" s="21" t="str"/>
      <x:c r="Y78" s="21" t="str">
        <x:v>needs_geospatial_verification</x:v>
      </x:c>
      <x:c r="Z78" s="21" t="str">
        <x:v>BLOCKED</x:v>
      </x:c>
      <x:c r="AA78" s="21" t="n">
        <x:v>0</x:v>
      </x:c>
      <x:c r="AB78" s="21" t="str">
        <x:v>NO_APPROVED_MEDIA_ASSET</x:v>
      </x:c>
      <x:c r="AC78" s="21" t="str">
        <x:v>R9_0_0_UI_BUILT_PENDING_LOCAL_UAT</x:v>
      </x:c>
      <x:c r="AD78" s="21" t="str">
        <x:v>2026-08-02</x:v>
      </x:c>
      <x:c r="AE78" s="21" t="str">
        <x:v>BLOCKED</x:v>
      </x:c>
      <x:c r="AF78" s="21" t="str">
        <x:v>BLOCKED</x:v>
      </x:c>
      <x:c r="AG78" s="20" t="str">
        <x:v>catalogSummary</x:v>
      </x:c>
      <x:c r="AH78" s="20" t="n">
        <x:v>0</x:v>
      </x:c>
      <x:c r="AI78" s="20" t="n">
        <x:v>1</x:v>
      </x:c>
      <x:c r="AJ78" s="20" t="str">
        <x:v>DEBUG_ONLY</x:v>
      </x:c>
      <x:c r="AK78" s="20" t="str">
        <x:v>BLOCKED</x:v>
      </x:c>
    </x:row>
    <x:row r="79">
      <x:c r="A79" s="21" t="str">
        <x:v>site-0a78d22c1a69</x:v>
      </x:c>
      <x:c r="B79" s="21" t="str">
        <x:v>khn-ywns-lqdym-0a78d2</x:v>
      </x:c>
      <x:c r="C79" s="21" t="str">
        <x:v>خان يونس القديم</x:v>
      </x:c>
      <x:c r="D79" s="21" t="str"/>
      <x:c r="E79" s="21" t="str">
        <x:v>خان يونس</x:v>
      </x:c>
      <x:c r="F79" s="21" t="str">
        <x:v>خان يونس</x:v>
      </x:c>
      <x:c r="G79" s="21" t="str">
        <x:v>عنقود عمراني تاريخي مؤقت</x:v>
      </x:c>
      <x:c r="H79" s="21" t="str">
        <x:v>reclassified_to_governed_cluster</x:v>
      </x:c>
      <x:c r="I79" s="21" t="str"/>
      <x:c r="J79" s="21" t="str">
        <x:v>GOVERNED_DRAFT_PAGE</x:v>
      </x:c>
      <x:c r="K79" s="21" t="str">
        <x:v>IMPLEMENTED_PENDING_LOCAL_UAT</x:v>
      </x:c>
      <x:c r="L79" s="21" t="n">
        <x:v>2</x:v>
      </x:c>
      <x:c r="M79" s="21" t="n">
        <x:v>2</x:v>
      </x:c>
      <x:c r="N79" s="21" t="str">
        <x:v>W3-AUTH-UNESCO-GAZA-IMPACT-2026; W3-AUTH-UNESCO-PALESTINE-CULTURAL-REPORT-2023</x:v>
      </x:c>
      <x:c r="O79" s="21" t="str">
        <x:v>P0-SRC-UNESCO-GAZA-ASSESSMENT-2026</x:v>
      </x:c>
      <x:c r="P79" s="21" t="n">
        <x:v>3</x:v>
      </x:c>
      <x:c r="Q79" s="21" t="n">
        <x:v>2</x:v>
      </x:c>
      <x:c r="R79" s="21" t="n">
        <x:v>1</x:v>
      </x:c>
      <x:c r="S79" s="21" t="n">
        <x:v>0</x:v>
      </x:c>
      <x:c r="T79" s="21" t="n">
        <x:v>0</x:v>
      </x:c>
      <x:c r="U79" s="21" t="n">
        <x:v>2</x:v>
      </x:c>
      <x:c r="V79" s="21" t="str">
        <x:v>P0_IDENTITY_GIS_INVENTORY_REQUIRED:site-0a78d22c1a69-W3-H01; P0_FIELD_ENGINEERING_REQUIRED:site-0a78d22c1a69-W3-H03</x:v>
      </x:c>
      <x:c r="W79" s="21" t="str"/>
      <x:c r="X79" s="21" t="str">
        <x:v>site-5e98cf44d976</x:v>
      </x:c>
      <x:c r="Y79" s="21" t="str">
        <x:v>needs_geospatial_verification</x:v>
      </x:c>
      <x:c r="Z79" s="21" t="str">
        <x:v>BLOCKED</x:v>
      </x:c>
      <x:c r="AA79" s="21" t="n">
        <x:v>0</x:v>
      </x:c>
      <x:c r="AB79" s="21" t="str">
        <x:v>NO_APPROVED_MEDIA_ASSET</x:v>
      </x:c>
      <x:c r="AC79" s="21" t="str">
        <x:v>R9_0_0_UI_BUILT_PENDING_LOCAL_UAT</x:v>
      </x:c>
      <x:c r="AD79" s="21" t="str">
        <x:v>2026-08-02</x:v>
      </x:c>
      <x:c r="AE79" s="21" t="str">
        <x:v>BLOCKED</x:v>
      </x:c>
      <x:c r="AF79" s="21" t="str">
        <x:v>BLOCKED</x:v>
      </x:c>
      <x:c r="AG79" s="20" t="str">
        <x:v>expandedNarrative</x:v>
      </x:c>
      <x:c r="AH79" s="20" t="n">
        <x:v>2</x:v>
      </x:c>
      <x:c r="AI79" s="20" t="n">
        <x:v>1</x:v>
      </x:c>
      <x:c r="AJ79" s="20" t="str">
        <x:v>DEBUG_ONLY</x:v>
      </x:c>
      <x:c r="AK79" s="20" t="str">
        <x:v>BLOCKED</x:v>
      </x:c>
    </x:row>
    <x:row r="80">
      <x:c r="A80" s="21" t="str">
        <x:v>site-ee0e5bf1f753</x:v>
      </x:c>
      <x:c r="B80" s="21" t="str">
        <x:v>rfh-ltrykhy-ee0e5b</x:v>
      </x:c>
      <x:c r="C80" s="21" t="str">
        <x:v>رفح التاريخية</x:v>
      </x:c>
      <x:c r="D80" s="21" t="str">
        <x:v>Historic Rafah</x:v>
      </x:c>
      <x:c r="E80" s="21" t="str">
        <x:v>رفح</x:v>
      </x:c>
      <x:c r="F80" s="21" t="str">
        <x:v>رفح</x:v>
      </x:c>
      <x:c r="G80" s="21" t="str">
        <x:v>عنقود عمراني تاريخي مؤقت</x:v>
      </x:c>
      <x:c r="H80" s="21" t="str">
        <x:v>reclassified_to_governed_cluster</x:v>
      </x:c>
      <x:c r="I80" s="21" t="str"/>
      <x:c r="J80" s="21" t="str">
        <x:v>GOVERNED_DRAFT_PAGE</x:v>
      </x:c>
      <x:c r="K80" s="21" t="str">
        <x:v>IMPLEMENTED_PENDING_LOCAL_UAT</x:v>
      </x:c>
      <x:c r="L80" s="21" t="n">
        <x:v>1</x:v>
      </x:c>
      <x:c r="M80" s="21" t="n">
        <x:v>1</x:v>
      </x:c>
      <x:c r="N80" s="21" t="str">
        <x:v>W3-AUTH-UNESCO-GAZA-IMPACT-2026</x:v>
      </x:c>
      <x:c r="O80" s="21" t="str">
        <x:v>P0-SRC-UNESCO-GAZA-ASSESSMENT-2026</x:v>
      </x:c>
      <x:c r="P80" s="21" t="n">
        <x:v>3</x:v>
      </x:c>
      <x:c r="Q80" s="21" t="n">
        <x:v>2</x:v>
      </x:c>
      <x:c r="R80" s="21" t="n">
        <x:v>1</x:v>
      </x:c>
      <x:c r="S80" s="21" t="n">
        <x:v>0</x:v>
      </x:c>
      <x:c r="T80" s="21" t="n">
        <x:v>0</x:v>
      </x:c>
      <x:c r="U80" s="21" t="n">
        <x:v>2</x:v>
      </x:c>
      <x:c r="V80" s="21" t="str">
        <x:v>P0_IDENTITY_GIS_INVENTORY_REQUIRED:site-ee0e5bf1f753-W3-H01; P0_FIELD_ENGINEERING_REQUIRED:site-ee0e5bf1f753-W3-H03</x:v>
      </x:c>
      <x:c r="W80" s="21" t="str"/>
      <x:c r="X80" s="21" t="str"/>
      <x:c r="Y80" s="21" t="str">
        <x:v>needs_geospatial_verification</x:v>
      </x:c>
      <x:c r="Z80" s="21" t="str">
        <x:v>BLOCKED</x:v>
      </x:c>
      <x:c r="AA80" s="21" t="n">
        <x:v>0</x:v>
      </x:c>
      <x:c r="AB80" s="21" t="str">
        <x:v>NO_APPROVED_MEDIA_ASSET</x:v>
      </x:c>
      <x:c r="AC80" s="21" t="str">
        <x:v>R9_0_0_UI_BUILT_PENDING_LOCAL_UAT</x:v>
      </x:c>
      <x:c r="AD80" s="21" t="str">
        <x:v>2026-08-02</x:v>
      </x:c>
      <x:c r="AE80" s="21" t="str">
        <x:v>BLOCKED</x:v>
      </x:c>
      <x:c r="AF80" s="21" t="str">
        <x:v>BLOCKED</x:v>
      </x:c>
      <x:c r="AG80" s="20" t="str">
        <x:v>expandedNarrative</x:v>
      </x:c>
      <x:c r="AH80" s="20" t="n">
        <x:v>3</x:v>
      </x:c>
      <x:c r="AI80" s="20" t="n">
        <x:v>1</x:v>
      </x:c>
      <x:c r="AJ80" s="20" t="str">
        <x:v>DEBUG_ONLY</x:v>
      </x:c>
      <x:c r="AK80" s="20" t="str">
        <x:v>BLOCKED</x:v>
      </x:c>
    </x:row>
  </x:sheetData>
  <x:conditionalFormatting sqref="J2:J80">
    <x:cfRule type="expression" dxfId="0" priority="1">
      <x:formula>$J2="GOVERNED_DRAFT_PAGE"</x:formula>
    </x:cfRule>
    <x:cfRule type="expression" dxfId="1" priority="2">
      <x:formula>$J2="LIMITED_RESEARCH_PAGE"</x:formula>
    </x:cfRule>
  </x:conditionalFormatting>
  <x:conditionalFormatting sqref="AF2:AF80">
    <x:cfRule type="expression" dxfId="2" priority="3">
      <x:formula>$AF2="BLOCKED"</x:formula>
    </x:cfRule>
  </x:conditionalFormatting>
  <x:dataValidations count="1">
    <x:dataValidation type="list" sqref="AC2:AC80">
      <x:formula1>"IMPLEMENTED_PENDING_LOCAL_UAT,UAT_PASS,UAT_FAIL,BLOCKED,ACCEPTED_INTERNAL_BASELINE"</x:formula1>
    </x:dataValidation>
  </x:dataValidations>
  <x:pageMargins left="0.7" right="0.7" top="0.75" bottom="0.75" header="0.3" footer="0.3"/>
  <x:tableParts count="1">
    <x:tablePart xmlns:r="http://schemas.openxmlformats.org/officeDocument/2006/relationships" r:id="Rfc29cad3f6264d3d"/>
  </x:tableParts>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18" hidden="0" customWidth="1"/>
    <x:col min="5" max="5" width="38" hidden="0" customWidth="1"/>
    <x:col min="6" max="6" width="18" hidden="0" customWidth="1"/>
    <x:col min="7" max="7" width="18" hidden="0" customWidth="1"/>
    <x:col min="8" max="8" width="26" hidden="0" customWidth="1"/>
    <x:col min="9" max="9" width="26" hidden="0" customWidth="1"/>
    <x:col min="10" max="10" width="38" hidden="0" customWidth="1"/>
    <x:col min="11" max="11" width="26" hidden="0" customWidth="1"/>
    <x:col min="12" max="12" width="26" hidden="0" customWidth="1"/>
    <x:col min="13" max="13" width="26" hidden="0" customWidth="1"/>
    <x:col min="14" max="14" width="18" hidden="0" customWidth="1"/>
  </x:cols>
  <x:sheetData>
    <x:row r="1">
      <x:c r="A1" s="14" t="str">
        <x:v>source_id</x:v>
      </x:c>
      <x:c r="B1" s="14" t="str">
        <x:v>title</x:v>
      </x:c>
      <x:c r="C1" s="14" t="str">
        <x:v>institution_or_author</x:v>
      </x:c>
      <x:c r="D1" s="14" t="str">
        <x:v>source_class</x:v>
      </x:c>
      <x:c r="E1" s="14" t="str">
        <x:v>url</x:v>
      </x:c>
      <x:c r="F1" s="14" t="str">
        <x:v>adoption_role</x:v>
      </x:c>
      <x:c r="G1" s="14" t="str">
        <x:v>linked_site_count</x:v>
      </x:c>
      <x:c r="H1" s="14" t="str">
        <x:v>linked_editorial_claim_count</x:v>
      </x:c>
      <x:c r="I1" s="14" t="str">
        <x:v>bibliographic_status</x:v>
      </x:c>
      <x:c r="J1" s="14" t="str">
        <x:v>evidence_scope_status</x:v>
      </x:c>
      <x:c r="K1" s="14" t="str">
        <x:v>text_reuse_status</x:v>
      </x:c>
      <x:c r="L1" s="14" t="str">
        <x:v>image_reuse_status</x:v>
      </x:c>
      <x:c r="M1" s="14" t="str">
        <x:v>map_reuse_status</x:v>
      </x:c>
      <x:c r="N1" s="14" t="str">
        <x:v>public_release</x:v>
      </x:c>
    </x:row>
    <x:row r="2">
      <x:c r="A2" s="21" t="str">
        <x:v>AUTH-UNESCO-BATTIR-001</x:v>
      </x:c>
      <x:c r="B2" s="21" t="str">
        <x:v>Palestine: Land of Olives and Vines – Cultural Landscape of Southern Jerusalem, Battir</x:v>
      </x:c>
      <x:c r="C2" s="21" t="str">
        <x:v>UNESCO World Heritage Centre</x:v>
      </x:c>
      <x:c r="D2" s="21" t="str">
        <x:v>official_world_heritage_record</x:v>
      </x:c>
      <x:c r="E2" s="21" t="str">
        <x:v>https://whc.unesco.org/en/list/1492/</x:v>
      </x:c>
      <x:c r="F2" s="21" t="str">
        <x:v>PAGE_EDITORIAL_SOURCE</x:v>
      </x:c>
      <x:c r="G2" s="21" t="n">
        <x:v>1</x:v>
      </x:c>
      <x:c r="H2" s="21" t="n">
        <x:v>2</x:v>
      </x:c>
      <x:c r="I2" s="21" t="str">
        <x:v>CLOSED</x:v>
      </x:c>
      <x:c r="J2" s="21" t="str">
        <x:v>CLOSED_WITHIN_STATED_SOURCE_SCOPE</x:v>
      </x:c>
      <x:c r="K2" s="21" t="str">
        <x:v>CONDITIONALLY_AVAILABLE</x:v>
      </x:c>
      <x:c r="L2" s="21" t="str">
        <x:v>BLOCKED_PENDING_FILE_LEVEL_RIGHTS</x:v>
      </x:c>
      <x:c r="M2" s="21" t="str">
        <x:v>BLOCKED_PENDING_FILE_LEVEL_RIGHTS</x:v>
      </x:c>
      <x:c r="N2" s="21" t="str">
        <x:v>BLOCKED_PENDING_FINAL_RIGHTS_REVIEW</x:v>
      </x:c>
    </x:row>
    <x:row r="3">
      <x:c r="A3" s="21" t="str">
        <x:v>AUTH-UNESCO-BATTIR-MAP-001</x:v>
      </x:c>
      <x:c r="B3" s="21" t="str">
        <x:v>Battir World Heritage Property - Maps</x:v>
      </x:c>
      <x:c r="C3" s="21" t="str">
        <x:v>UNESCO World Heritage Centre</x:v>
      </x:c>
      <x:c r="D3" s="21" t="str">
        <x:v>official_property_geodata</x:v>
      </x:c>
      <x:c r="E3" s="21" t="str">
        <x:v>https://whc.unesco.org/en/list/1492/maps/</x:v>
      </x:c>
      <x:c r="F3" s="21" t="str">
        <x:v>REGISTERED_SOURCE_NOT_CURRENTLY_ADOPTED</x:v>
      </x:c>
      <x:c r="G3" s="21" t="n">
        <x:v>0</x:v>
      </x:c>
      <x:c r="H3" s="21" t="n">
        <x:v>0</x:v>
      </x:c>
      <x:c r="I3" s="21" t="str">
        <x:v>CLOSED</x:v>
      </x:c>
      <x:c r="J3" s="21" t="str">
        <x:v>NO_CONFIRMED_CLAIM_TO_CLOSE</x:v>
      </x:c>
      <x:c r="K3" s="21" t="str">
        <x:v>PARAPHRASE_WITH_CITATION</x:v>
      </x:c>
      <x:c r="L3" s="21" t="str">
        <x:v>BLOCKED_PENDING_FILE_LEVEL_RIGHTS</x:v>
      </x:c>
      <x:c r="M3" s="21" t="str">
        <x:v>BLOCKED_PENDING_FILE_LEVEL_RIGHTS</x:v>
      </x:c>
      <x:c r="N3" s="21" t="str">
        <x:v>BLOCKED_PENDING_FINAL_RIGHTS_REVIEW</x:v>
      </x:c>
    </x:row>
    <x:row r="4">
      <x:c r="A4" s="21" t="str">
        <x:v>AUTH-UNESCO-HEBRON-001</x:v>
      </x:c>
      <x:c r="B4" s="21" t="str">
        <x:v>Hebron/Al-Khalil Old Town</x:v>
      </x:c>
      <x:c r="C4" s="21" t="str">
        <x:v>UNESCO World Heritage Centre</x:v>
      </x:c>
      <x:c r="D4" s="21" t="str">
        <x:v>official_world_heritage_record</x:v>
      </x:c>
      <x:c r="E4" s="21" t="str">
        <x:v>https://whc.unesco.org/en/list/1565/</x:v>
      </x:c>
      <x:c r="F4" s="21" t="str">
        <x:v>PAGE_EDITORIAL_SOURCE</x:v>
      </x:c>
      <x:c r="G4" s="21" t="n">
        <x:v>2</x:v>
      </x:c>
      <x:c r="H4" s="21" t="n">
        <x:v>5</x:v>
      </x:c>
      <x:c r="I4" s="21" t="str">
        <x:v>CLOSED</x:v>
      </x:c>
      <x:c r="J4" s="21" t="str">
        <x:v>CLOSED_WITHIN_STATED_SOURCE_SCOPE</x:v>
      </x:c>
      <x:c r="K4" s="21" t="str">
        <x:v>CONDITIONALLY_AVAILABLE</x:v>
      </x:c>
      <x:c r="L4" s="21" t="str">
        <x:v>BLOCKED_PENDING_FILE_LEVEL_RIGHTS</x:v>
      </x:c>
      <x:c r="M4" s="21" t="str">
        <x:v>BLOCKED_PENDING_FILE_LEVEL_RIGHTS</x:v>
      </x:c>
      <x:c r="N4" s="21" t="str">
        <x:v>BLOCKED_PENDING_FINAL_RIGHTS_REVIEW</x:v>
      </x:c>
    </x:row>
    <x:row r="5">
      <x:c r="A5" s="21" t="str">
        <x:v>AUTH-UNESCO-HEBRON-MAP-001</x:v>
      </x:c>
      <x:c r="B5" s="21" t="str">
        <x:v>Hebron/Al-Khalil Old Town - Maps</x:v>
      </x:c>
      <x:c r="C5" s="21" t="str">
        <x:v>UNESCO World Heritage Centre</x:v>
      </x:c>
      <x:c r="D5" s="21" t="str">
        <x:v>official_property_geodata</x:v>
      </x:c>
      <x:c r="E5" s="21" t="str">
        <x:v>https://whc.unesco.org/en/list/1565/maps/</x:v>
      </x:c>
      <x:c r="F5" s="21" t="str">
        <x:v>REGISTERED_SOURCE_NOT_CURRENTLY_ADOPTED</x:v>
      </x:c>
      <x:c r="G5" s="21" t="n">
        <x:v>0</x:v>
      </x:c>
      <x:c r="H5" s="21" t="n">
        <x:v>0</x:v>
      </x:c>
      <x:c r="I5" s="21" t="str">
        <x:v>CLOSED</x:v>
      </x:c>
      <x:c r="J5" s="21" t="str">
        <x:v>NO_CONFIRMED_CLAIM_TO_CLOSE</x:v>
      </x:c>
      <x:c r="K5" s="21" t="str">
        <x:v>PARAPHRASE_WITH_CITATION</x:v>
      </x:c>
      <x:c r="L5" s="21" t="str">
        <x:v>BLOCKED_PENDING_FILE_LEVEL_RIGHTS</x:v>
      </x:c>
      <x:c r="M5" s="21" t="str">
        <x:v>BLOCKED_PENDING_FILE_LEVEL_RIGHTS</x:v>
      </x:c>
      <x:c r="N5" s="21" t="str">
        <x:v>BLOCKED_PENDING_FINAL_RIGHTS_REVIEW</x:v>
      </x:c>
    </x:row>
    <x:row r="6">
      <x:c r="A6" s="21" t="str">
        <x:v>AUTH-UNESCO-HISHAM-001</x:v>
      </x:c>
      <x:c r="B6" s="21" t="str">
        <x:v>Hisham’s Palace/Khirbet al-Mafjar - Tentative List</x:v>
      </x:c>
      <x:c r="C6" s="21" t="str">
        <x:v>Permanent Delegation of Palestine to UNESCO / UNESCO World Heritage Centre publication</x:v>
      </x:c>
      <x:c r="D6" s="21" t="str">
        <x:v>official_state_submission_tentative_list</x:v>
      </x:c>
      <x:c r="E6" s="21" t="str">
        <x:v>https://whc.unesco.org/en/tentativelists/6546/</x:v>
      </x:c>
      <x:c r="F6" s="21" t="str">
        <x:v>PAGE_EDITORIAL_SOURCE</x:v>
      </x:c>
      <x:c r="G6" s="21" t="n">
        <x:v>1</x:v>
      </x:c>
      <x:c r="H6" s="21" t="n">
        <x:v>3</x:v>
      </x:c>
      <x:c r="I6" s="21" t="str">
        <x:v>CLOSED</x:v>
      </x:c>
      <x:c r="J6" s="21" t="str">
        <x:v>CLOSED_WITHIN_STATED_SOURCE_SCOPE</x:v>
      </x:c>
      <x:c r="K6" s="21" t="str">
        <x:v>PARAPHRASE_WITH_CITATION</x:v>
      </x:c>
      <x:c r="L6" s="21" t="str">
        <x:v>BLOCKED_PENDING_FILE_LEVEL_RIGHTS</x:v>
      </x:c>
      <x:c r="M6" s="21" t="str">
        <x:v>BLOCKED_PENDING_FILE_LEVEL_RIGHTS</x:v>
      </x:c>
      <x:c r="N6" s="21" t="str">
        <x:v>BLOCKED_PENDING_FINAL_RIGHTS_REVIEW</x:v>
      </x:c>
    </x:row>
    <x:row r="7">
      <x:c r="A7" s="21" t="str">
        <x:v>AUTH-UNESCO-JERICHO-001</x:v>
      </x:c>
      <x:c r="B7" s="21" t="str">
        <x:v>Ancient Jericho/Tell es-Sultan</x:v>
      </x:c>
      <x:c r="C7" s="21" t="str">
        <x:v>UNESCO World Heritage Centre</x:v>
      </x:c>
      <x:c r="D7" s="21" t="str">
        <x:v>official_world_heritage_record</x:v>
      </x:c>
      <x:c r="E7" s="21" t="str">
        <x:v>https://whc.unesco.org/en/list/1687/</x:v>
      </x:c>
      <x:c r="F7" s="21" t="str">
        <x:v>PAGE_EDITORIAL_SOURCE</x:v>
      </x:c>
      <x:c r="G7" s="21" t="n">
        <x:v>1</x:v>
      </x:c>
      <x:c r="H7" s="21" t="n">
        <x:v>3</x:v>
      </x:c>
      <x:c r="I7" s="21" t="str">
        <x:v>CLOSED</x:v>
      </x:c>
      <x:c r="J7" s="21" t="str">
        <x:v>CLOSED_WITHIN_STATED_SOURCE_SCOPE</x:v>
      </x:c>
      <x:c r="K7" s="21" t="str">
        <x:v>CONDITIONALLY_AVAILABLE</x:v>
      </x:c>
      <x:c r="L7" s="21" t="str">
        <x:v>BLOCKED_PENDING_FILE_LEVEL_RIGHTS</x:v>
      </x:c>
      <x:c r="M7" s="21" t="str">
        <x:v>BLOCKED_PENDING_FILE_LEVEL_RIGHTS</x:v>
      </x:c>
      <x:c r="N7" s="21" t="str">
        <x:v>BLOCKED_PENDING_FINAL_RIGHTS_REVIEW</x:v>
      </x:c>
    </x:row>
    <x:row r="8">
      <x:c r="A8" s="21" t="str">
        <x:v>AUTH-UNESCO-JERICHO-MAP-001</x:v>
      </x:c>
      <x:c r="B8" s="21" t="str">
        <x:v>Ancient Jericho/Tell es-Sultan - Maps</x:v>
      </x:c>
      <x:c r="C8" s="21" t="str">
        <x:v>UNESCO World Heritage Centre</x:v>
      </x:c>
      <x:c r="D8" s="21" t="str">
        <x:v>official_property_geodata</x:v>
      </x:c>
      <x:c r="E8" s="21" t="str">
        <x:v>https://whc.unesco.org/en/list/1687/maps/</x:v>
      </x:c>
      <x:c r="F8" s="21" t="str">
        <x:v>REGISTERED_SOURCE_NOT_CURRENTLY_ADOPTED</x:v>
      </x:c>
      <x:c r="G8" s="21" t="n">
        <x:v>0</x:v>
      </x:c>
      <x:c r="H8" s="21" t="n">
        <x:v>0</x:v>
      </x:c>
      <x:c r="I8" s="21" t="str">
        <x:v>CLOSED</x:v>
      </x:c>
      <x:c r="J8" s="21" t="str">
        <x:v>NO_CONFIRMED_CLAIM_TO_CLOSE</x:v>
      </x:c>
      <x:c r="K8" s="21" t="str">
        <x:v>PARAPHRASE_WITH_CITATION</x:v>
      </x:c>
      <x:c r="L8" s="21" t="str">
        <x:v>BLOCKED_PENDING_FILE_LEVEL_RIGHTS</x:v>
      </x:c>
      <x:c r="M8" s="21" t="str">
        <x:v>BLOCKED_PENDING_FILE_LEVEL_RIGHTS</x:v>
      </x:c>
      <x:c r="N8" s="21" t="str">
        <x:v>BLOCKED_PENDING_FINAL_RIGHTS_REVIEW</x:v>
      </x:c>
    </x:row>
    <x:row r="9">
      <x:c r="A9" s="21" t="str">
        <x:v>AUTH-UNESCO-JERUSALEM-DECISION-001</x:v>
      </x:c>
      <x:c r="B9" s="21" t="str">
        <x:v>40 COM 7A.13 - Old City of Jerusalem and its Walls</x:v>
      </x:c>
      <x:c r="C9" s="21" t="str">
        <x:v>UNESCO World Heritage Committee</x:v>
      </x:c>
      <x:c r="D9" s="21" t="str">
        <x:v>official_committee_decision</x:v>
      </x:c>
      <x:c r="E9" s="21" t="str">
        <x:v>https://whc.unesco.org/en/decisions/6818/</x:v>
      </x:c>
      <x:c r="F9" s="21" t="str">
        <x:v>PAGE_EDITORIAL_SOURCE</x:v>
      </x:c>
      <x:c r="G9" s="21" t="n">
        <x:v>1</x:v>
      </x:c>
      <x:c r="H9" s="21" t="n">
        <x:v>1</x:v>
      </x:c>
      <x:c r="I9" s="21" t="str">
        <x:v>CLOSED</x:v>
      </x:c>
      <x:c r="J9" s="21" t="str">
        <x:v>CLOSED_WITHIN_STATED_SOURCE_SCOPE</x:v>
      </x:c>
      <x:c r="K9" s="21" t="str">
        <x:v>LIMITED_USE_WITH_CITATION</x:v>
      </x:c>
      <x:c r="L9" s="21" t="str">
        <x:v>BLOCKED_PENDING_FILE_LEVEL_RIGHTS</x:v>
      </x:c>
      <x:c r="M9" s="21" t="str">
        <x:v>BLOCKED_PENDING_FILE_LEVEL_RIGHTS</x:v>
      </x:c>
      <x:c r="N9" s="21" t="str">
        <x:v>BLOCKED_PENDING_FINAL_RIGHTS_REVIEW</x:v>
      </x:c>
    </x:row>
    <x:row r="10">
      <x:c r="A10" s="21" t="str">
        <x:v>AUTH-UNESCO-JERUSALEM-MAP-001</x:v>
      </x:c>
      <x:c r="B10" s="21" t="str">
        <x:v>Old City of Jerusalem and its Walls - Maps</x:v>
      </x:c>
      <x:c r="C10" s="21" t="str">
        <x:v>UNESCO World Heritage Centre</x:v>
      </x:c>
      <x:c r="D10" s="21" t="str">
        <x:v>official_property_geodata</x:v>
      </x:c>
      <x:c r="E10" s="21" t="str">
        <x:v>https://whc.unesco.org/en/list/148/maps/</x:v>
      </x:c>
      <x:c r="F10" s="21" t="str">
        <x:v>REGISTERED_SOURCE_NOT_CURRENTLY_ADOPTED</x:v>
      </x:c>
      <x:c r="G10" s="21" t="n">
        <x:v>0</x:v>
      </x:c>
      <x:c r="H10" s="21" t="n">
        <x:v>0</x:v>
      </x:c>
      <x:c r="I10" s="21" t="str">
        <x:v>CLOSED</x:v>
      </x:c>
      <x:c r="J10" s="21" t="str">
        <x:v>NO_CONFIRMED_CLAIM_TO_CLOSE</x:v>
      </x:c>
      <x:c r="K10" s="21" t="str">
        <x:v>PARAPHRASE_WITH_CITATION</x:v>
      </x:c>
      <x:c r="L10" s="21" t="str">
        <x:v>BLOCKED_PENDING_FILE_LEVEL_RIGHTS</x:v>
      </x:c>
      <x:c r="M10" s="21" t="str">
        <x:v>BLOCKED_PENDING_FILE_LEVEL_RIGHTS</x:v>
      </x:c>
      <x:c r="N10" s="21" t="str">
        <x:v>BLOCKED_PENDING_FINAL_RIGHTS_REVIEW</x:v>
      </x:c>
    </x:row>
    <x:row r="11">
      <x:c r="A11" s="21" t="str">
        <x:v>AUTH-UNESCO-NATIVITY-001</x:v>
      </x:c>
      <x:c r="B11" s="21" t="str">
        <x:v>Birthplace of Jesus: Church of the Nativity and the Pilgrimage Route, Bethlehem</x:v>
      </x:c>
      <x:c r="C11" s="21" t="str">
        <x:v>UNESCO World Heritage Centre</x:v>
      </x:c>
      <x:c r="D11" s="21" t="str">
        <x:v>official_world_heritage_record</x:v>
      </x:c>
      <x:c r="E11" s="21" t="str">
        <x:v>https://whc.unesco.org/en/list/1433/</x:v>
      </x:c>
      <x:c r="F11" s="21" t="str">
        <x:v>PAGE_EDITORIAL_SOURCE</x:v>
      </x:c>
      <x:c r="G11" s="21" t="n">
        <x:v>1</x:v>
      </x:c>
      <x:c r="H11" s="21" t="n">
        <x:v>2</x:v>
      </x:c>
      <x:c r="I11" s="21" t="str">
        <x:v>CLOSED</x:v>
      </x:c>
      <x:c r="J11" s="21" t="str">
        <x:v>CLOSED_WITHIN_STATED_SOURCE_SCOPE</x:v>
      </x:c>
      <x:c r="K11" s="21" t="str">
        <x:v>CONDITIONALLY_AVAILABLE</x:v>
      </x:c>
      <x:c r="L11" s="21" t="str">
        <x:v>BLOCKED_PENDING_FILE_LEVEL_RIGHTS</x:v>
      </x:c>
      <x:c r="M11" s="21" t="str">
        <x:v>BLOCKED_PENDING_FILE_LEVEL_RIGHTS</x:v>
      </x:c>
      <x:c r="N11" s="21" t="str">
        <x:v>BLOCKED_PENDING_FINAL_RIGHTS_REVIEW</x:v>
      </x:c>
    </x:row>
    <x:row r="12">
      <x:c r="A12" s="21" t="str">
        <x:v>AUTH-UNESCO-NATIVITY-MAP-001</x:v>
      </x:c>
      <x:c r="B12" s="21" t="str">
        <x:v>Church of the Nativity and the Pilgrimage Route - Maps</x:v>
      </x:c>
      <x:c r="C12" s="21" t="str">
        <x:v>UNESCO World Heritage Centre</x:v>
      </x:c>
      <x:c r="D12" s="21" t="str">
        <x:v>official_property_geodata</x:v>
      </x:c>
      <x:c r="E12" s="21" t="str">
        <x:v>https://whc.unesco.org/en/list/1433/maps/</x:v>
      </x:c>
      <x:c r="F12" s="21" t="str">
        <x:v>REGISTERED_SOURCE_NOT_CURRENTLY_ADOPTED</x:v>
      </x:c>
      <x:c r="G12" s="21" t="n">
        <x:v>0</x:v>
      </x:c>
      <x:c r="H12" s="21" t="n">
        <x:v>0</x:v>
      </x:c>
      <x:c r="I12" s="21" t="str">
        <x:v>CLOSED</x:v>
      </x:c>
      <x:c r="J12" s="21" t="str">
        <x:v>NO_CONFIRMED_CLAIM_TO_CLOSE</x:v>
      </x:c>
      <x:c r="K12" s="21" t="str">
        <x:v>PARAPHRASE_WITH_CITATION</x:v>
      </x:c>
      <x:c r="L12" s="21" t="str">
        <x:v>BLOCKED_PENDING_FILE_LEVEL_RIGHTS</x:v>
      </x:c>
      <x:c r="M12" s="21" t="str">
        <x:v>BLOCKED_PENDING_FILE_LEVEL_RIGHTS</x:v>
      </x:c>
      <x:c r="N12" s="21" t="str">
        <x:v>BLOCKED_PENDING_FINAL_RIGHTS_REVIEW</x:v>
      </x:c>
    </x:row>
    <x:row r="13">
      <x:c r="A13" s="21" t="str">
        <x:v>AUTH-UNESCO-PS-STATE-001</x:v>
      </x:c>
      <x:c r="B13" s="21" t="str">
        <x:v>State of Palestine - UNESCO World Heritage Convention</x:v>
      </x:c>
      <x:c r="C13" s="21" t="str">
        <x:v>UNESCO World Heritage Centre</x:v>
      </x:c>
      <x:c r="D13" s="21" t="str">
        <x:v>official_international_registry</x:v>
      </x:c>
      <x:c r="E13" s="21" t="str">
        <x:v>https://whc.unesco.org/en/statesparties/ps</x:v>
      </x:c>
      <x:c r="F13" s="21" t="str">
        <x:v>REGISTERED_SOURCE_NOT_CURRENTLY_ADOPTED</x:v>
      </x:c>
      <x:c r="G13" s="21" t="n">
        <x:v>0</x:v>
      </x:c>
      <x:c r="H13" s="21" t="n">
        <x:v>0</x:v>
      </x:c>
      <x:c r="I13" s="21" t="str">
        <x:v>CLOSED</x:v>
      </x:c>
      <x:c r="J13" s="21" t="str">
        <x:v>NO_CONFIRMED_CLAIM_TO_CLOSE</x:v>
      </x:c>
      <x:c r="K13" s="21" t="str">
        <x:v>PARAPHRASE_WITH_CITATION</x:v>
      </x:c>
      <x:c r="L13" s="21" t="str">
        <x:v>BLOCKED_PENDING_FILE_LEVEL_RIGHTS</x:v>
      </x:c>
      <x:c r="M13" s="21" t="str">
        <x:v>BLOCKED_PENDING_FILE_LEVEL_RIGHTS</x:v>
      </x:c>
      <x:c r="N13" s="21" t="str">
        <x:v>BLOCKED_PENDING_FINAL_RIGHTS_REVIEW</x:v>
      </x:c>
    </x:row>
    <x:row r="14">
      <x:c r="A14" s="21" t="str">
        <x:v>AUTH-UNESCO-SEBASTIA-001</x:v>
      </x:c>
      <x:c r="B14" s="21" t="str">
        <x:v>Sebastia - Tentative List</x:v>
      </x:c>
      <x:c r="C14" s="21" t="str">
        <x:v>Permanent Delegation of Palestine to UNESCO / UNESCO World Heritage Centre publication</x:v>
      </x:c>
      <x:c r="D14" s="21" t="str">
        <x:v>official_state_submission_tentative_list</x:v>
      </x:c>
      <x:c r="E14" s="21" t="str">
        <x:v>https://whc.unesco.org/en/tentativelists/5718/</x:v>
      </x:c>
      <x:c r="F14" s="21" t="str">
        <x:v>PAGE_EDITORIAL_SOURCE</x:v>
      </x:c>
      <x:c r="G14" s="21" t="n">
        <x:v>1</x:v>
      </x:c>
      <x:c r="H14" s="21" t="n">
        <x:v>3</x:v>
      </x:c>
      <x:c r="I14" s="21" t="str">
        <x:v>CLOSED</x:v>
      </x:c>
      <x:c r="J14" s="21" t="str">
        <x:v>CLOSED_WITHIN_STATED_SOURCE_SCOPE</x:v>
      </x:c>
      <x:c r="K14" s="21" t="str">
        <x:v>PARAPHRASE_WITH_CITATION</x:v>
      </x:c>
      <x:c r="L14" s="21" t="str">
        <x:v>BLOCKED_PENDING_FILE_LEVEL_RIGHTS</x:v>
      </x:c>
      <x:c r="M14" s="21" t="str">
        <x:v>BLOCKED_PENDING_FILE_LEVEL_RIGHTS</x:v>
      </x:c>
      <x:c r="N14" s="21" t="str">
        <x:v>BLOCKED_PENDING_FINAL_RIGHTS_REVIEW</x:v>
      </x:c>
    </x:row>
    <x:row r="15">
      <x:c r="A15" s="21" t="str">
        <x:v>W2-AUTH-ARCHNET-CITADEL-001</x:v>
      </x:c>
      <x:c r="B15" s="21" t="str">
        <x:v>Qal'at al-Quds</x:v>
      </x:c>
      <x:c r="C15" s="21" t="str">
        <x:v>Archnet / Aga Khan Documentation Center at MIT</x:v>
      </x:c>
      <x:c r="D15" s="21" t="str">
        <x:v>academic_architectural_record</x:v>
      </x:c>
      <x:c r="E15" s="21" t="str">
        <x:v>https://www.archnet.org/sites/3735</x:v>
      </x:c>
      <x:c r="F15" s="21" t="str">
        <x:v>PAGE_EDITORIAL_SOURCE</x:v>
      </x:c>
      <x:c r="G15" s="21" t="n">
        <x:v>1</x:v>
      </x:c>
      <x:c r="H15" s="21" t="n">
        <x:v>1</x:v>
      </x:c>
      <x:c r="I15" s="21" t="str">
        <x:v>CLOSED</x:v>
      </x:c>
      <x:c r="J15" s="21" t="str">
        <x:v>CLOSED_LIMITED_TO_INSPECTED_RECORD</x:v>
      </x:c>
      <x:c r="K15" s="21" t="str">
        <x:v>PARAPHRASE_WITH_CITATION</x:v>
      </x:c>
      <x:c r="L15" s="21" t="str">
        <x:v>BLOCKED_PENDING_FILE_LEVEL_RIGHTS</x:v>
      </x:c>
      <x:c r="M15" s="21" t="str">
        <x:v>BLOCKED_PENDING_FILE_LEVEL_RIGHTS</x:v>
      </x:c>
      <x:c r="N15" s="21" t="str">
        <x:v>BLOCKED_PENDING_FINAL_RIGHTS_REVIEW</x:v>
      </x:c>
    </x:row>
    <x:row r="16">
      <x:c r="A16" s="21" t="str">
        <x:v>W2-AUTH-ARCHNET-QATTANIN-001</x:v>
      </x:c>
      <x:c r="B16" s="21" t="str">
        <x:v>Bab al-Qattanin / Suq al-Qattanin</x:v>
      </x:c>
      <x:c r="C16" s="21" t="str">
        <x:v>Archnet / Aga Khan Documentation Center at MIT</x:v>
      </x:c>
      <x:c r="D16" s="21" t="str">
        <x:v>academic_architectural_record</x:v>
      </x:c>
      <x:c r="E16" s="21" t="str">
        <x:v>https://www.archnet.org/sites/3060</x:v>
      </x:c>
      <x:c r="F16" s="21" t="str">
        <x:v>PAGE_EDITORIAL_SOURCE</x:v>
      </x:c>
      <x:c r="G16" s="21" t="n">
        <x:v>2</x:v>
      </x:c>
      <x:c r="H16" s="21" t="n">
        <x:v>2</x:v>
      </x:c>
      <x:c r="I16" s="21" t="str">
        <x:v>CLOSED</x:v>
      </x:c>
      <x:c r="J16" s="21" t="str">
        <x:v>CLOSED_LIMITED_TO_INSPECTED_RECORD</x:v>
      </x:c>
      <x:c r="K16" s="21" t="str">
        <x:v>PARAPHRASE_WITH_CITATION</x:v>
      </x:c>
      <x:c r="L16" s="21" t="str">
        <x:v>BLOCKED_PENDING_FILE_LEVEL_RIGHTS</x:v>
      </x:c>
      <x:c r="M16" s="21" t="str">
        <x:v>BLOCKED_PENDING_FILE_LEVEL_RIGHTS</x:v>
      </x:c>
      <x:c r="N16" s="21" t="str">
        <x:v>BLOCKED_PENDING_FINAL_RIGHTS_REVIEW</x:v>
      </x:c>
    </x:row>
    <x:row r="17">
      <x:c r="A17" s="21" t="str">
        <x:v>W2-AUTH-ARCHNET-SOLOMON-POOLS-001</x:v>
      </x:c>
      <x:c r="B17" s="21" t="str">
        <x:v>Renovation of Solomon's Pool Historical Site</x:v>
      </x:c>
      <x:c r="C17" s="21" t="str">
        <x:v>Archnet / Aga Khan Trust for Culture</x:v>
      </x:c>
      <x:c r="D17" s="21" t="str">
        <x:v>academic_conservation_project_record</x:v>
      </x:c>
      <x:c r="E17" s="21" t="str">
        <x:v>https://www.archnet.org/sites/17049</x:v>
      </x:c>
      <x:c r="F17" s="21" t="str">
        <x:v>PAGE_EDITORIAL_SOURCE</x:v>
      </x:c>
      <x:c r="G17" s="21" t="n">
        <x:v>2</x:v>
      </x:c>
      <x:c r="H17" s="21" t="n">
        <x:v>2</x:v>
      </x:c>
      <x:c r="I17" s="21" t="str">
        <x:v>CLOSED</x:v>
      </x:c>
      <x:c r="J17" s="21" t="str">
        <x:v>CLOSED_WITHIN_STATED_SOURCE_SCOPE</x:v>
      </x:c>
      <x:c r="K17" s="21" t="str">
        <x:v>PARAPHRASE_WITH_CITATION</x:v>
      </x:c>
      <x:c r="L17" s="21" t="str">
        <x:v>BLOCKED_PENDING_FILE_LEVEL_RIGHTS</x:v>
      </x:c>
      <x:c r="M17" s="21" t="str">
        <x:v>BLOCKED_PENDING_FILE_LEVEL_RIGHTS</x:v>
      </x:c>
      <x:c r="N17" s="21" t="str">
        <x:v>BLOCKED_PENDING_FINAL_RIGHTS_REVIEW</x:v>
      </x:c>
    </x:row>
    <x:row r="18">
      <x:c r="A18" s="21" t="str">
        <x:v>W2-AUTH-ICOMOS-HEBRON-2017</x:v>
      </x:c>
      <x:c r="B18" s="21" t="str">
        <x:v>ICOMOS Evaluation — Hebron/Al-Khalil Old Town</x:v>
      </x:c>
      <x:c r="C18" s="21" t="str">
        <x:v>ICOMOS / UNESCO World Heritage Centre</x:v>
      </x:c>
      <x:c r="D18" s="21" t="str">
        <x:v>official_advisory_body_evaluation</x:v>
      </x:c>
      <x:c r="E18" s="21" t="str">
        <x:v>https://whc.unesco.org/archive/2017/whc17-41com-inf8B1-Add2-en.pdf</x:v>
      </x:c>
      <x:c r="F18" s="21" t="str">
        <x:v>PAGE_EDITORIAL_SOURCE</x:v>
      </x:c>
      <x:c r="G18" s="21" t="n">
        <x:v>2</x:v>
      </x:c>
      <x:c r="H18" s="21" t="n">
        <x:v>2</x:v>
      </x:c>
      <x:c r="I18" s="21" t="str">
        <x:v>CLOSED</x:v>
      </x:c>
      <x:c r="J18" s="21" t="str">
        <x:v>CLOSED_WITHIN_STATED_SOURCE_SCOPE</x:v>
      </x:c>
      <x:c r="K18" s="21" t="str">
        <x:v>LIMITED_USE_WITH_CITATION</x:v>
      </x:c>
      <x:c r="L18" s="21" t="str">
        <x:v>BLOCKED_PENDING_FILE_LEVEL_RIGHTS</x:v>
      </x:c>
      <x:c r="M18" s="21" t="str">
        <x:v>BLOCKED_PENDING_FILE_LEVEL_RIGHTS</x:v>
      </x:c>
      <x:c r="N18" s="21" t="str">
        <x:v>BLOCKED_PENDING_FINAL_RIGHTS_REVIEW</x:v>
      </x:c>
    </x:row>
    <x:row r="19">
      <x:c r="A19" s="21" t="str">
        <x:v>W2-AUTH-JERUSALEM-PATRIARCHATE-ALKHADER-001</x:v>
      </x:c>
      <x:c r="B19" s="21" t="str">
        <x:v>Holy Monasteries Outside Jerusalem — St George in Al-Khader</x:v>
      </x:c>
      <x:c r="C19" s="21" t="str">
        <x:v>Greek Orthodox Patriarchate of Jerusalem</x:v>
      </x:c>
      <x:c r="D19" s="21" t="str">
        <x:v>official_ecclesiastical_institutional_record</x:v>
      </x:c>
      <x:c r="E19" s="21" t="str">
        <x:v>https://en.jerusalem-patriarchate.info/administrative-structure/holy-monasteries-and-hegoumeneia-abbots-quarters-outside-jerusalem/</x:v>
      </x:c>
      <x:c r="F19" s="21" t="str">
        <x:v>REGISTERED_SOURCE_NOT_CURRENTLY_ADOPTED</x:v>
      </x:c>
      <x:c r="G19" s="21" t="n">
        <x:v>0</x:v>
      </x:c>
      <x:c r="H19" s="21" t="n">
        <x:v>0</x:v>
      </x:c>
      <x:c r="I19" s="21" t="str">
        <x:v>CLOSED</x:v>
      </x:c>
      <x:c r="J19" s="21" t="str">
        <x:v>CLOSED_LIMITED_TO_INSPECTED_RECORD</x:v>
      </x:c>
      <x:c r="K19" s="21" t="str">
        <x:v>PARAPHRASE_WITH_CITATION</x:v>
      </x:c>
      <x:c r="L19" s="21" t="str">
        <x:v>BLOCKED_PENDING_FILE_LEVEL_RIGHTS</x:v>
      </x:c>
      <x:c r="M19" s="21" t="str">
        <x:v>BLOCKED_PENDING_FILE_LEVEL_RIGHTS</x:v>
      </x:c>
      <x:c r="N19" s="21" t="str">
        <x:v>BLOCKED_PENDING_FINAL_RIGHTS_REVIEW</x:v>
      </x:c>
    </x:row>
    <x:row r="20">
      <x:c r="A20" s="21" t="str">
        <x:v>W2-AUTH-JERUSALEM-PATRIARCHATE-GETHSEMANE-001</x:v>
      </x:c>
      <x:c r="B20" s="21" t="str">
        <x:v>Holy Gethsemane</x:v>
      </x:c>
      <x:c r="C20" s="21" t="str">
        <x:v>Greek Orthodox Patriarchate of Jerusalem</x:v>
      </x:c>
      <x:c r="D20" s="21" t="str">
        <x:v>official_ecclesiastical_tradition_record</x:v>
      </x:c>
      <x:c r="E20" s="21" t="str">
        <x:v>https://en.jerusalem-patriarchate.info/holy-shrines/holy-gethsemane/</x:v>
      </x:c>
      <x:c r="F20" s="21" t="str">
        <x:v>PAGE_EDITORIAL_SOURCE</x:v>
      </x:c>
      <x:c r="G20" s="21" t="n">
        <x:v>1</x:v>
      </x:c>
      <x:c r="H20" s="21" t="n">
        <x:v>1</x:v>
      </x:c>
      <x:c r="I20" s="21" t="str">
        <x:v>CLOSED</x:v>
      </x:c>
      <x:c r="J20" s="21" t="str">
        <x:v>CLOSED_LIMITED_TO_INSPECTED_RECORD</x:v>
      </x:c>
      <x:c r="K20" s="21" t="str">
        <x:v>PARAPHRASE_WITH_CITATION</x:v>
      </x:c>
      <x:c r="L20" s="21" t="str">
        <x:v>BLOCKED_PENDING_FILE_LEVEL_RIGHTS</x:v>
      </x:c>
      <x:c r="M20" s="21" t="str">
        <x:v>BLOCKED_PENDING_FILE_LEVEL_RIGHTS</x:v>
      </x:c>
      <x:c r="N20" s="21" t="str">
        <x:v>BLOCKED_PENDING_FINAL_RIGHTS_REVIEW</x:v>
      </x:c>
    </x:row>
    <x:row r="21">
      <x:c r="A21" s="21" t="str">
        <x:v>W2-AUTH-JERUSALEM-PATRIARCHATE-MAR-SABA-001</x:v>
      </x:c>
      <x:c r="B21" s="21" t="str">
        <x:v>Short History Account of Saint Savvas' Lavra</x:v>
      </x:c>
      <x:c r="C21" s="21" t="str">
        <x:v>Greek Orthodox Patriarchate of Jerusalem</x:v>
      </x:c>
      <x:c r="D21" s="21" t="str">
        <x:v>official_ecclesiastical_history_record</x:v>
      </x:c>
      <x:c r="E21" s="21" t="str">
        <x:v>https://en.jerusalem-patriarchate.info/pilgrimages/short-history-account-of-saint-savvas-lavra/</x:v>
      </x:c>
      <x:c r="F21" s="21" t="str">
        <x:v>PAGE_EDITORIAL_SOURCE</x:v>
      </x:c>
      <x:c r="G21" s="21" t="n">
        <x:v>1</x:v>
      </x:c>
      <x:c r="H21" s="21" t="n">
        <x:v>1</x:v>
      </x:c>
      <x:c r="I21" s="21" t="str">
        <x:v>CLOSED</x:v>
      </x:c>
      <x:c r="J21" s="21" t="str">
        <x:v>CLOSED_LIMITED_TO_INSPECTED_RECORD</x:v>
      </x:c>
      <x:c r="K21" s="21" t="str">
        <x:v>PARAPHRASE_WITH_CITATION</x:v>
      </x:c>
      <x:c r="L21" s="21" t="str">
        <x:v>BLOCKED_PENDING_FILE_LEVEL_RIGHTS</x:v>
      </x:c>
      <x:c r="M21" s="21" t="str">
        <x:v>BLOCKED_PENDING_FILE_LEVEL_RIGHTS</x:v>
      </x:c>
      <x:c r="N21" s="21" t="str">
        <x:v>BLOCKED_PENDING_FINAL_RIGHTS_REVIEW</x:v>
      </x:c>
    </x:row>
    <x:row r="22">
      <x:c r="A22" s="21" t="str">
        <x:v>W2-AUTH-MWNF-NABI-YUNUS-001</x:v>
      </x:c>
      <x:c r="B22" s="21" t="str">
        <x:v>Mosque of Nabi Yunus (Prophet Jonah)</x:v>
      </x:c>
      <x:c r="C22" s="21" t="str">
        <x:v>Museum With No Frontiers — Discover Islamic Art</x:v>
      </x:c>
      <x:c r="D22" s="21" t="str">
        <x:v>curated_academic_museum_record</x:v>
      </x:c>
      <x:c r="E22" s="21" t="str">
        <x:v>https://islamicart.museumwnf.org/database_item.php?id=monument%3BISL%3Bpa%3BMon01%3B12%3Ben%3Bar</x:v>
      </x:c>
      <x:c r="F22" s="21" t="str">
        <x:v>PAGE_EDITORIAL_SOURCE</x:v>
      </x:c>
      <x:c r="G22" s="21" t="n">
        <x:v>1</x:v>
      </x:c>
      <x:c r="H22" s="21" t="n">
        <x:v>1</x:v>
      </x:c>
      <x:c r="I22" s="21" t="str">
        <x:v>CLOSED</x:v>
      </x:c>
      <x:c r="J22" s="21" t="str">
        <x:v>CLOSED_WITHIN_STATED_SOURCE_SCOPE</x:v>
      </x:c>
      <x:c r="K22" s="21" t="str">
        <x:v>PARAPHRASE_WITH_CITATION</x:v>
      </x:c>
      <x:c r="L22" s="21" t="str">
        <x:v>BLOCKED_PENDING_FILE_LEVEL_RIGHTS</x:v>
      </x:c>
      <x:c r="M22" s="21" t="str">
        <x:v>BLOCKED_PENDING_FILE_LEVEL_RIGHTS</x:v>
      </x:c>
      <x:c r="N22" s="21" t="str">
        <x:v>BLOCKED_PENDING_FINAL_RIGHTS_REVIEW</x:v>
      </x:c>
    </x:row>
    <x:row r="23">
      <x:c r="A23" s="21" t="str">
        <x:v>W2-AUTH-SBF-HERODIUM-BIBLIOGRAPHY-001</x:v>
      </x:c>
      <x:c r="B23" s="21" t="str">
        <x:v>Herodium archaeological bibliography and final reports</x:v>
      </x:c>
      <x:c r="C23" s="21" t="str">
        <x:v>Studium Biblicum Franciscanum</x:v>
      </x:c>
      <x:c r="D23" s="21" t="str">
        <x:v>academic_bibliographic_registry</x:v>
      </x:c>
      <x:c r="E23" s="21" t="str">
        <x:v>https://sbf.custodia.org/it/seminario-iv</x:v>
      </x:c>
      <x:c r="F23" s="21" t="str">
        <x:v>PAGE_EDITORIAL_SOURCE</x:v>
      </x:c>
      <x:c r="G23" s="21" t="n">
        <x:v>1</x:v>
      </x:c>
      <x:c r="H23" s="21" t="n">
        <x:v>1</x:v>
      </x:c>
      <x:c r="I23" s="21" t="str">
        <x:v>CLOSED</x:v>
      </x:c>
      <x:c r="J23" s="21" t="str">
        <x:v>CLOSED_WITHIN_STATED_SOURCE_SCOPE</x:v>
      </x:c>
      <x:c r="K23" s="21" t="str">
        <x:v>PARAPHRASE_WITH_CITATION</x:v>
      </x:c>
      <x:c r="L23" s="21" t="str">
        <x:v>BLOCKED_PENDING_FILE_LEVEL_RIGHTS</x:v>
      </x:c>
      <x:c r="M23" s="21" t="str">
        <x:v>BLOCKED_PENDING_FILE_LEVEL_RIGHTS</x:v>
      </x:c>
      <x:c r="N23" s="21" t="str">
        <x:v>BLOCKED_PENDING_FINAL_RIGHTS_REVIEW</x:v>
      </x:c>
    </x:row>
    <x:row r="24">
      <x:c r="A24" s="21" t="str">
        <x:v>W2-AUTH-SBF-HERODIUM-CHRISTIAN-001</x:v>
      </x:c>
      <x:c r="B24" s="21" t="str">
        <x:v>Christian Archaeology in the Holy Land — Herodion chapters</x:v>
      </x:c>
      <x:c r="C24" s="21" t="str">
        <x:v>Studium Biblicum Franciscanum</x:v>
      </x:c>
      <x:c r="D24" s="21" t="str">
        <x:v>academic_monograph_record</x:v>
      </x:c>
      <x:c r="E24" s="21" t="str">
        <x:v>https://sbf.custodia.org/en/publications/collectio-maior/christian-archaeology-in-the-holy-land</x:v>
      </x:c>
      <x:c r="F24" s="21" t="str">
        <x:v>PAGE_EDITORIAL_SOURCE</x:v>
      </x:c>
      <x:c r="G24" s="21" t="n">
        <x:v>1</x:v>
      </x:c>
      <x:c r="H24" s="21" t="n">
        <x:v>1</x:v>
      </x:c>
      <x:c r="I24" s="21" t="str">
        <x:v>CLOSED</x:v>
      </x:c>
      <x:c r="J24" s="21" t="str">
        <x:v>CLOSED_WITHIN_STATED_SOURCE_SCOPE</x:v>
      </x:c>
      <x:c r="K24" s="21" t="str">
        <x:v>PARAPHRASE_WITH_CITATION</x:v>
      </x:c>
      <x:c r="L24" s="21" t="str">
        <x:v>BLOCKED_PENDING_FILE_LEVEL_RIGHTS</x:v>
      </x:c>
      <x:c r="M24" s="21" t="str">
        <x:v>BLOCKED_PENDING_FILE_LEVEL_RIGHTS</x:v>
      </x:c>
      <x:c r="N24" s="21" t="str">
        <x:v>BLOCKED_PENDING_FINAL_RIGHTS_REVIEW</x:v>
      </x:c>
    </x:row>
    <x:row r="25">
      <x:c r="A25" s="21" t="str">
        <x:v>W2-AUTH-SBF-JERUSALEM-EXCAVATIONS-001</x:v>
      </x:c>
      <x:c r="B25" s="21" t="str">
        <x:v>General information — archaeological work of the Studium Biblicum Franciscanum</x:v>
      </x:c>
      <x:c r="C25" s="21" t="str">
        <x:v>Studium Biblicum Franciscanum</x:v>
      </x:c>
      <x:c r="D25" s="21" t="str">
        <x:v>academic_institutional_archaeology_record</x:v>
      </x:c>
      <x:c r="E25" s="21" t="str">
        <x:v>https://sbf.custodia.org/en/general-info</x:v>
      </x:c>
      <x:c r="F25" s="21" t="str">
        <x:v>PAGE_EDITORIAL_SOURCE</x:v>
      </x:c>
      <x:c r="G25" s="21" t="n">
        <x:v>2</x:v>
      </x:c>
      <x:c r="H25" s="21" t="n">
        <x:v>2</x:v>
      </x:c>
      <x:c r="I25" s="21" t="str">
        <x:v>CLOSED</x:v>
      </x:c>
      <x:c r="J25" s="21" t="str">
        <x:v>CLOSED_WITHIN_STATED_SOURCE_SCOPE</x:v>
      </x:c>
      <x:c r="K25" s="21" t="str">
        <x:v>PARAPHRASE_WITH_CITATION</x:v>
      </x:c>
      <x:c r="L25" s="21" t="str">
        <x:v>BLOCKED_PENDING_FILE_LEVEL_RIGHTS</x:v>
      </x:c>
      <x:c r="M25" s="21" t="str">
        <x:v>BLOCKED_PENDING_FILE_LEVEL_RIGHTS</x:v>
      </x:c>
      <x:c r="N25" s="21" t="str">
        <x:v>BLOCKED_PENDING_FINAL_RIGHTS_REVIEW</x:v>
      </x:c>
    </x:row>
    <x:row r="26">
      <x:c r="A26" s="21" t="str">
        <x:v>W2-AUTH-SBF-MILK-GROTTO-001</x:v>
      </x:c>
      <x:c r="B26" s="21" t="str">
        <x:v>Bethlehem excursion record — Milk Grotto</x:v>
      </x:c>
      <x:c r="C26" s="21" t="str">
        <x:v>Studium Biblicum Franciscanum</x:v>
      </x:c>
      <x:c r="D26" s="21" t="str">
        <x:v>academic_institutional_tradition_and_site_record</x:v>
      </x:c>
      <x:c r="E26" s="21" t="str">
        <x:v>https://sbf.custodia.org/it/escursioni/betlemme</x:v>
      </x:c>
      <x:c r="F26" s="21" t="str">
        <x:v>PAGE_EDITORIAL_SOURCE</x:v>
      </x:c>
      <x:c r="G26" s="21" t="n">
        <x:v>1</x:v>
      </x:c>
      <x:c r="H26" s="21" t="n">
        <x:v>1</x:v>
      </x:c>
      <x:c r="I26" s="21" t="str">
        <x:v>CLOSED</x:v>
      </x:c>
      <x:c r="J26" s="21" t="str">
        <x:v>CLOSED_WITHIN_STATED_SOURCE_SCOPE</x:v>
      </x:c>
      <x:c r="K26" s="21" t="str">
        <x:v>PARAPHRASE_WITH_CITATION</x:v>
      </x:c>
      <x:c r="L26" s="21" t="str">
        <x:v>BLOCKED_PENDING_FILE_LEVEL_RIGHTS</x:v>
      </x:c>
      <x:c r="M26" s="21" t="str">
        <x:v>BLOCKED_PENDING_FILE_LEVEL_RIGHTS</x:v>
      </x:c>
      <x:c r="N26" s="21" t="str">
        <x:v>BLOCKED_PENDING_FINAL_RIGHTS_REVIEW</x:v>
      </x:c>
    </x:row>
    <x:row r="27">
      <x:c r="A27" s="21" t="str">
        <x:v>W2-AUTH-SBF-MILK-GROTTO-EXCAVATION-2005</x:v>
      </x:c>
      <x:c r="B27" s="21" t="str">
        <x:v>SBF Notiziario 2005–2006 — emergency excavation at the Milk Grotto</x:v>
      </x:c>
      <x:c r="C27" s="21" t="str">
        <x:v>Studium Biblicum Franciscanum</x:v>
      </x:c>
      <x:c r="D27" s="21" t="str">
        <x:v>academic_archaeological_activity_record</x:v>
      </x:c>
      <x:c r="E27" s="21" t="str">
        <x:v>https://sbf.custodia.org/sites/default/files/2019-04/SBF_Notiziario_2005-2006.pdf</x:v>
      </x:c>
      <x:c r="F27" s="21" t="str">
        <x:v>PAGE_EDITORIAL_SOURCE</x:v>
      </x:c>
      <x:c r="G27" s="21" t="n">
        <x:v>1</x:v>
      </x:c>
      <x:c r="H27" s="21" t="n">
        <x:v>1</x:v>
      </x:c>
      <x:c r="I27" s="21" t="str">
        <x:v>CLOSED</x:v>
      </x:c>
      <x:c r="J27" s="21" t="str">
        <x:v>CLOSED_WITHIN_STATED_SOURCE_SCOPE</x:v>
      </x:c>
      <x:c r="K27" s="21" t="str">
        <x:v>PARAPHRASE_WITH_CITATION</x:v>
      </x:c>
      <x:c r="L27" s="21" t="str">
        <x:v>BLOCKED_PENDING_FILE_LEVEL_RIGHTS</x:v>
      </x:c>
      <x:c r="M27" s="21" t="str">
        <x:v>BLOCKED_PENDING_FILE_LEVEL_RIGHTS</x:v>
      </x:c>
      <x:c r="N27" s="21" t="str">
        <x:v>BLOCKED_PENDING_FINAL_RIGHTS_REVIEW</x:v>
      </x:c>
    </x:row>
    <x:row r="28">
      <x:c r="A28" s="21" t="str">
        <x:v>W2-AUTH-UNESCO-HEBRON-001</x:v>
      </x:c>
      <x:c r="B28" s="21" t="str">
        <x:v>Hebron/Al-Khalil Old Town</x:v>
      </x:c>
      <x:c r="C28" s="21" t="str">
        <x:v>UNESCO World Heritage Centre</x:v>
      </x:c>
      <x:c r="D28" s="21" t="str">
        <x:v>official_world_heritage_record</x:v>
      </x:c>
      <x:c r="E28" s="21" t="str">
        <x:v>https://whc.unesco.org/en/list/1565/</x:v>
      </x:c>
      <x:c r="F28" s="21" t="str">
        <x:v>PAGE_EDITORIAL_SOURCE</x:v>
      </x:c>
      <x:c r="G28" s="21" t="n">
        <x:v>2</x:v>
      </x:c>
      <x:c r="H28" s="21" t="n">
        <x:v>2</x:v>
      </x:c>
      <x:c r="I28" s="21" t="str">
        <x:v>CLOSED</x:v>
      </x:c>
      <x:c r="J28" s="21" t="str">
        <x:v>CLOSED_WITHIN_STATED_SOURCE_SCOPE</x:v>
      </x:c>
      <x:c r="K28" s="21" t="str">
        <x:v>CONDITIONALLY_AVAILABLE</x:v>
      </x:c>
      <x:c r="L28" s="21" t="str">
        <x:v>BLOCKED_PENDING_FILE_LEVEL_RIGHTS</x:v>
      </x:c>
      <x:c r="M28" s="21" t="str">
        <x:v>BLOCKED_PENDING_FILE_LEVEL_RIGHTS</x:v>
      </x:c>
      <x:c r="N28" s="21" t="str">
        <x:v>BLOCKED_PENDING_FINAL_RIGHTS_REVIEW</x:v>
      </x:c>
    </x:row>
    <x:row r="29">
      <x:c r="A29" s="21" t="str">
        <x:v>W2-AUTH-UNESCO-JERUSALEM-001</x:v>
      </x:c>
      <x:c r="B29" s="21" t="str">
        <x:v>Old City of Jerusalem and its Walls</x:v>
      </x:c>
      <x:c r="C29" s="21" t="str">
        <x:v>UNESCO World Heritage Centre</x:v>
      </x:c>
      <x:c r="D29" s="21" t="str">
        <x:v>official_world_heritage_record</x:v>
      </x:c>
      <x:c r="E29" s="21" t="str">
        <x:v>https://whc.unesco.org/en/list/148/</x:v>
      </x:c>
      <x:c r="F29" s="21" t="str">
        <x:v>PAGE_EDITORIAL_SOURCE</x:v>
      </x:c>
      <x:c r="G29" s="21" t="n">
        <x:v>2</x:v>
      </x:c>
      <x:c r="H29" s="21" t="n">
        <x:v>2</x:v>
      </x:c>
      <x:c r="I29" s="21" t="str">
        <x:v>CLOSED</x:v>
      </x:c>
      <x:c r="J29" s="21" t="str">
        <x:v>CLOSED_WITHIN_STATED_SOURCE_SCOPE</x:v>
      </x:c>
      <x:c r="K29" s="21" t="str">
        <x:v>CONDITIONALLY_AVAILABLE</x:v>
      </x:c>
      <x:c r="L29" s="21" t="str">
        <x:v>BLOCKED_PENDING_FILE_LEVEL_RIGHTS</x:v>
      </x:c>
      <x:c r="M29" s="21" t="str">
        <x:v>BLOCKED_PENDING_FILE_LEVEL_RIGHTS</x:v>
      </x:c>
      <x:c r="N29" s="21" t="str">
        <x:v>BLOCKED_PENDING_FINAL_RIGHTS_REVIEW</x:v>
      </x:c>
    </x:row>
    <x:row r="30">
      <x:c r="A30" s="21" t="str">
        <x:v>W2-AUTH-UNESCO-JERUSALEM-EXTENSION-001</x:v>
      </x:c>
      <x:c r="B30" s="21" t="str">
        <x:v>Jerusalem — Old City and Ramparts to include Mount Zion</x:v>
      </x:c>
      <x:c r="C30" s="21" t="str">
        <x:v>State Party submission published by UNESCO</x:v>
      </x:c>
      <x:c r="D30" s="21" t="str">
        <x:v>official_state_submission_tentative_list</x:v>
      </x:c>
      <x:c r="E30" s="21" t="str">
        <x:v>https://whc.unesco.org/en/tentativelists/1483/</x:v>
      </x:c>
      <x:c r="F30" s="21" t="str">
        <x:v>PAGE_EDITORIAL_SOURCE</x:v>
      </x:c>
      <x:c r="G30" s="21" t="n">
        <x:v>2</x:v>
      </x:c>
      <x:c r="H30" s="21" t="n">
        <x:v>2</x:v>
      </x:c>
      <x:c r="I30" s="21" t="str">
        <x:v>CLOSED</x:v>
      </x:c>
      <x:c r="J30" s="21" t="str">
        <x:v>CLOSED_WITHIN_STATED_SOURCE_SCOPE</x:v>
      </x:c>
      <x:c r="K30" s="21" t="str">
        <x:v>PARAPHRASE_WITH_CITATION</x:v>
      </x:c>
      <x:c r="L30" s="21" t="str">
        <x:v>BLOCKED_PENDING_FILE_LEVEL_RIGHTS</x:v>
      </x:c>
      <x:c r="M30" s="21" t="str">
        <x:v>BLOCKED_PENDING_FILE_LEVEL_RIGHTS</x:v>
      </x:c>
      <x:c r="N30" s="21" t="str">
        <x:v>BLOCKED_PENDING_FINAL_RIGHTS_REVIEW</x:v>
      </x:c>
    </x:row>
    <x:row r="31">
      <x:c r="A31" s="21" t="str">
        <x:v>W2-AUTH-UNESCO-JERUSALEM-MONITOR-2015</x:v>
      </x:c>
      <x:c r="B31" s="21" t="str">
        <x:v>State of conservation of properties inscribed on the List of World Heritage in Danger — Old City of Jerusalem and its Walls</x:v>
      </x:c>
      <x:c r="C31" s="21" t="str">
        <x:v>UNESCO World Heritage Centre</x:v>
      </x:c>
      <x:c r="D31" s="21" t="str">
        <x:v>official_monitoring_document_with_party_reports</x:v>
      </x:c>
      <x:c r="E31" s="21" t="str">
        <x:v>https://whc.unesco.org/document/135821</x:v>
      </x:c>
      <x:c r="F31" s="21" t="str">
        <x:v>PAGE_EDITORIAL_SOURCE</x:v>
      </x:c>
      <x:c r="G31" s="21" t="n">
        <x:v>3</x:v>
      </x:c>
      <x:c r="H31" s="21" t="n">
        <x:v>3</x:v>
      </x:c>
      <x:c r="I31" s="21" t="str">
        <x:v>CLOSED</x:v>
      </x:c>
      <x:c r="J31" s="21" t="str">
        <x:v>CLOSED_WITHIN_STATED_SOURCE_SCOPE</x:v>
      </x:c>
      <x:c r="K31" s="21" t="str">
        <x:v>LIMITED_USE_WITH_CITATION</x:v>
      </x:c>
      <x:c r="L31" s="21" t="str">
        <x:v>BLOCKED_PENDING_FILE_LEVEL_RIGHTS</x:v>
      </x:c>
      <x:c r="M31" s="21" t="str">
        <x:v>BLOCKED_PENDING_FILE_LEVEL_RIGHTS</x:v>
      </x:c>
      <x:c r="N31" s="21" t="str">
        <x:v>BLOCKED_PENDING_FINAL_RIGHTS_REVIEW</x:v>
      </x:c>
    </x:row>
    <x:row r="32">
      <x:c r="A32" s="21" t="str">
        <x:v>W2-AUTH-UNISPAL-WESTERN-WALL-1930</x:v>
      </x:c>
      <x:c r="B32" s="21" t="str">
        <x:v>Report of the Commission appointed to determine rights and claims in connection with the Western or Wailing Wall at Jerusalem</x:v>
      </x:c>
      <x:c r="C32" s="21" t="str">
        <x:v>League of Nations / United Nations Information System on the Question of Palestine</x:v>
      </x:c>
      <x:c r="D32" s="21" t="str">
        <x:v>official_historical_commission_report</x:v>
      </x:c>
      <x:c r="E32" s="21" t="str">
        <x:v>https://www.un.org/unispal/document/auto-insert-183319/</x:v>
      </x:c>
      <x:c r="F32" s="21" t="str">
        <x:v>PAGE_EDITORIAL_SOURCE</x:v>
      </x:c>
      <x:c r="G32" s="21" t="n">
        <x:v>1</x:v>
      </x:c>
      <x:c r="H32" s="21" t="n">
        <x:v>1</x:v>
      </x:c>
      <x:c r="I32" s="21" t="str">
        <x:v>CLOSED</x:v>
      </x:c>
      <x:c r="J32" s="21" t="str">
        <x:v>CLOSED_LIMITED_TO_INSPECTED_RECORD</x:v>
      </x:c>
      <x:c r="K32" s="21" t="str">
        <x:v>LIMITED_USE_WITH_CITATION</x:v>
      </x:c>
      <x:c r="L32" s="21" t="str">
        <x:v>BLOCKED_PENDING_FILE_LEVEL_RIGHTS</x:v>
      </x:c>
      <x:c r="M32" s="21" t="str">
        <x:v>BLOCKED_PENDING_FILE_LEVEL_RIGHTS</x:v>
      </x:c>
      <x:c r="N32" s="21" t="str">
        <x:v>BLOCKED_PENDING_FINAL_RIGHTS_REVIEW</x:v>
      </x:c>
    </x:row>
    <x:row r="33">
      <x:c r="A33" s="21" t="str">
        <x:v>W2-AUTH-WAFA-NABI-NUH-2020</x:v>
      </x:c>
      <x:c r="B33" s="21" t="str">
        <x:v>تكية النبي نوح.. من فكرة فردية إلى أهم المؤسسات الخيرية والإنسانية</x:v>
      </x:c>
      <x:c r="C33" s="21" t="str">
        <x:v>وكالة الأنباء والمعلومات الفلسطينية — وفا</x:v>
      </x:c>
      <x:c r="D33" s="21" t="str">
        <x:v>official_palestinian_news_and_current_use_record</x:v>
      </x:c>
      <x:c r="E33" s="21" t="str">
        <x:v>https://www.wafa.ps/pages/details/11353</x:v>
      </x:c>
      <x:c r="F33" s="21" t="str">
        <x:v>PAGE_EDITORIAL_SOURCE</x:v>
      </x:c>
      <x:c r="G33" s="21" t="n">
        <x:v>1</x:v>
      </x:c>
      <x:c r="H33" s="21" t="n">
        <x:v>1</x:v>
      </x:c>
      <x:c r="I33" s="21" t="str">
        <x:v>CLOSED</x:v>
      </x:c>
      <x:c r="J33" s="21" t="str">
        <x:v>CLOSED_WITHIN_STATED_SOURCE_SCOPE</x:v>
      </x:c>
      <x:c r="K33" s="21" t="str">
        <x:v>PARAPHRASE_WITH_CITATION</x:v>
      </x:c>
      <x:c r="L33" s="21" t="str">
        <x:v>BLOCKED_PENDING_FILE_LEVEL_RIGHTS</x:v>
      </x:c>
      <x:c r="M33" s="21" t="str">
        <x:v>BLOCKED_PENDING_FILE_LEVEL_RIGHTS</x:v>
      </x:c>
      <x:c r="N33" s="21" t="str">
        <x:v>BLOCKED_PENDING_FINAL_RIGHTS_REVIEW</x:v>
      </x:c>
    </x:row>
    <x:row r="34">
      <x:c r="A34" s="21" t="str">
        <x:v>W3-AUTH-BM-TELL-AJJUL-COLLECTION</x:v>
      </x:c>
      <x:c r="B34" s="21" t="str">
        <x:v>British Museum collection records — Tell el-Ajjul</x:v>
      </x:c>
      <x:c r="C34" s="21" t="str">
        <x:v>The British Museum</x:v>
      </x:c>
      <x:c r="D34" s="21" t="str">
        <x:v>official_museum_collection_registry</x:v>
      </x:c>
      <x:c r="E34" s="21" t="str">
        <x:v>https://www.britishmuseum.org/collection/search?place=Tell+el-Ajjul</x:v>
      </x:c>
      <x:c r="F34" s="21" t="str">
        <x:v>PAGE_EDITORIAL_SOURCE</x:v>
      </x:c>
      <x:c r="G34" s="21" t="n">
        <x:v>1</x:v>
      </x:c>
      <x:c r="H34" s="21" t="n">
        <x:v>1</x:v>
      </x:c>
      <x:c r="I34" s="21" t="str">
        <x:v>CLOSED</x:v>
      </x:c>
      <x:c r="J34" s="21" t="str">
        <x:v>CLOSED_LIMITED_TO_INSPECTED_RECORD</x:v>
      </x:c>
      <x:c r="K34" s="21" t="str">
        <x:v>PARAPHRASE_WITH_CITATION</x:v>
      </x:c>
      <x:c r="L34" s="21" t="str">
        <x:v>BLOCKED_PENDING_FILE_LEVEL_RIGHTS</x:v>
      </x:c>
      <x:c r="M34" s="21" t="str">
        <x:v>BLOCKED_PENDING_FILE_LEVEL_RIGHTS</x:v>
      </x:c>
      <x:c r="N34" s="21" t="str">
        <x:v>BLOCKED_PENDING_FINAL_RIGHTS_REVIEW</x:v>
      </x:c>
    </x:row>
    <x:row r="35">
      <x:c r="A35" s="21" t="str">
        <x:v>W3-AUTH-JERUSALEM-PATRIARCHATE-PORPHYRIOS</x:v>
      </x:c>
      <x:c r="B35" s="21" t="str">
        <x:v>Official records concerning Saint Porphyrios of Gaza and the Gaza monastery</x:v>
      </x:c>
      <x:c r="C35" s="21" t="str">
        <x:v>Greek Orthodox Patriarchate of Jerusalem</x:v>
      </x:c>
      <x:c r="D35" s="21" t="str">
        <x:v>official_ecclesiastical_institutional_record</x:v>
      </x:c>
      <x:c r="E35" s="21" t="str">
        <x:v>https://en.jerusalem-patriarchate.info/liturgic-life/the-feast-of-st-porphyrios-of-gaza-in-gaza/</x:v>
      </x:c>
      <x:c r="F35" s="21" t="str">
        <x:v>PAGE_EDITORIAL_SOURCE</x:v>
      </x:c>
      <x:c r="G35" s="21" t="n">
        <x:v>1</x:v>
      </x:c>
      <x:c r="H35" s="21" t="n">
        <x:v>1</x:v>
      </x:c>
      <x:c r="I35" s="21" t="str">
        <x:v>CLOSED</x:v>
      </x:c>
      <x:c r="J35" s="21" t="str">
        <x:v>CLOSED_WITHIN_STATED_SOURCE_SCOPE</x:v>
      </x:c>
      <x:c r="K35" s="21" t="str">
        <x:v>PARAPHRASE_WITH_CITATION</x:v>
      </x:c>
      <x:c r="L35" s="21" t="str">
        <x:v>BLOCKED_PENDING_FILE_LEVEL_RIGHTS</x:v>
      </x:c>
      <x:c r="M35" s="21" t="str">
        <x:v>BLOCKED_PENDING_FILE_LEVEL_RIGHTS</x:v>
      </x:c>
      <x:c r="N35" s="21" t="str">
        <x:v>BLOCKED_PENDING_FINAL_RIGHTS_REVIEW</x:v>
      </x:c>
    </x:row>
    <x:row r="36">
      <x:c r="A36" s="21" t="str">
        <x:v>W3-AUTH-UCL-TELL-AJJUL-2021</x:v>
      </x:c>
      <x:c r="B36" s="21" t="str">
        <x:v>Historical Methods and Mishaps: Flinders Petrie's Views on Interconnected Tell el-Ajjul and the 'Middle Sea'</x:v>
      </x:c>
      <x:c r="C36" s="21" t="str">
        <x:v>University College London</x:v>
      </x:c>
      <x:c r="D36" s="21" t="str">
        <x:v>peer_reviewed_academic_research</x:v>
      </x:c>
      <x:c r="E36" s="21" t="str">
        <x:v>https://discovery.ucl.ac.uk/10130277/1/Sparks_interconnected%20Ajjul_Accepted%20MSS.pdf</x:v>
      </x:c>
      <x:c r="F36" s="21" t="str">
        <x:v>PAGE_EDITORIAL_SOURCE</x:v>
      </x:c>
      <x:c r="G36" s="21" t="n">
        <x:v>1</x:v>
      </x:c>
      <x:c r="H36" s="21" t="n">
        <x:v>1</x:v>
      </x:c>
      <x:c r="I36" s="21" t="str">
        <x:v>CLOSED</x:v>
      </x:c>
      <x:c r="J36" s="21" t="str">
        <x:v>CLOSED_WITHIN_STATED_SOURCE_SCOPE</x:v>
      </x:c>
      <x:c r="K36" s="21" t="str">
        <x:v>PARAPHRASE_WITH_CITATION</x:v>
      </x:c>
      <x:c r="L36" s="21" t="str">
        <x:v>BLOCKED_PENDING_FILE_LEVEL_RIGHTS</x:v>
      </x:c>
      <x:c r="M36" s="21" t="str">
        <x:v>BLOCKED_PENDING_FILE_LEVEL_RIGHTS</x:v>
      </x:c>
      <x:c r="N36" s="21" t="str">
        <x:v>BLOCKED_PENDING_FINAL_RIGHTS_REVIEW</x:v>
      </x:c>
    </x:row>
    <x:row r="37">
      <x:c r="A37" s="21" t="str">
        <x:v>W3-AUTH-UNESCO-ANTHEDON-2012</x:v>
      </x:c>
      <x:c r="B37" s="21" t="str">
        <x:v>Anthedon Harbour</x:v>
      </x:c>
      <x:c r="C37" s="21" t="str">
        <x:v>State of Palestine submission published by UNESCO</x:v>
      </x:c>
      <x:c r="D37" s="21" t="str">
        <x:v>official_state_party_tentative_list_submission</x:v>
      </x:c>
      <x:c r="E37" s="21" t="str">
        <x:v>https://whc.unesco.org/en/tentativelists/5719/</x:v>
      </x:c>
      <x:c r="F37" s="21" t="str">
        <x:v>PAGE_EDITORIAL_SOURCE</x:v>
      </x:c>
      <x:c r="G37" s="21" t="n">
        <x:v>1</x:v>
      </x:c>
      <x:c r="H37" s="21" t="n">
        <x:v>1</x:v>
      </x:c>
      <x:c r="I37" s="21" t="str">
        <x:v>CLOSED</x:v>
      </x:c>
      <x:c r="J37" s="21" t="str">
        <x:v>CLOSED_WITHIN_STATED_SOURCE_SCOPE</x:v>
      </x:c>
      <x:c r="K37" s="21" t="str">
        <x:v>PARAPHRASE_WITH_CITATION</x:v>
      </x:c>
      <x:c r="L37" s="21" t="str">
        <x:v>BLOCKED_PENDING_FILE_LEVEL_RIGHTS</x:v>
      </x:c>
      <x:c r="M37" s="21" t="str">
        <x:v>BLOCKED_PENDING_FILE_LEVEL_RIGHTS</x:v>
      </x:c>
      <x:c r="N37" s="21" t="str">
        <x:v>BLOCKED_PENDING_FINAL_RIGHTS_REVIEW</x:v>
      </x:c>
    </x:row>
    <x:row r="38">
      <x:c r="A38" s="21" t="str">
        <x:v>W3-AUTH-UNESCO-GAZA-HERITAGE-2015</x:v>
      </x:c>
      <x:c r="B38" s="21" t="str">
        <x:v>Over 70 Palestinian Youth Volunteer for the Preservation of their Cultural Heritage</x:v>
      </x:c>
      <x:c r="C38" s="21" t="str">
        <x:v>UNESCO</x:v>
      </x:c>
      <x:c r="D38" s="21" t="str">
        <x:v>official_pre_conflict_heritage_activity_record</x:v>
      </x:c>
      <x:c r="E38" s="21" t="str">
        <x:v>https://www.unesco.org/en/articles/over-70-palestinian-youth-volunteer-preservation-their-cultural-heritage-0</x:v>
      </x:c>
      <x:c r="F38" s="21" t="str">
        <x:v>REGISTERED_SOURCE_NOT_CURRENTLY_ADOPTED</x:v>
      </x:c>
      <x:c r="G38" s="21" t="n">
        <x:v>0</x:v>
      </x:c>
      <x:c r="H38" s="21" t="n">
        <x:v>0</x:v>
      </x:c>
      <x:c r="I38" s="21" t="str">
        <x:v>CLOSED</x:v>
      </x:c>
      <x:c r="J38" s="21" t="str">
        <x:v>NO_CONFIRMED_CLAIM_TO_CLOSE</x:v>
      </x:c>
      <x:c r="K38" s="21" t="str">
        <x:v>PARAPHRASE_WITH_CITATION</x:v>
      </x:c>
      <x:c r="L38" s="21" t="str">
        <x:v>BLOCKED_PENDING_FILE_LEVEL_RIGHTS</x:v>
      </x:c>
      <x:c r="M38" s="21" t="str">
        <x:v>BLOCKED_PENDING_FILE_LEVEL_RIGHTS</x:v>
      </x:c>
      <x:c r="N38" s="21" t="str">
        <x:v>BLOCKED_PENDING_FINAL_RIGHTS_REVIEW</x:v>
      </x:c>
    </x:row>
    <x:row r="39">
      <x:c r="A39" s="21" t="str">
        <x:v>W3-AUTH-UNESCO-GAZA-HISTORIC-CENTRE-2026</x:v>
      </x:c>
      <x:c r="B39" s="21" t="str">
        <x:v>The Historic Centre of Gaza, including Omari Mosque and Porphyrius Church</x:v>
      </x:c>
      <x:c r="C39" s="21" t="str">
        <x:v>Permanent Delegation of the State of Palestine to UNESCO</x:v>
      </x:c>
      <x:c r="D39" s="21" t="str">
        <x:v>official_state_party_tentative_list_submission</x:v>
      </x:c>
      <x:c r="E39" s="21" t="str">
        <x:v>https://whc.unesco.org/en/tentativelists/6955/</x:v>
      </x:c>
      <x:c r="F39" s="21" t="str">
        <x:v>PAGE_EDITORIAL_SOURCE</x:v>
      </x:c>
      <x:c r="G39" s="21" t="n">
        <x:v>3</x:v>
      </x:c>
      <x:c r="H39" s="21" t="n">
        <x:v>3</x:v>
      </x:c>
      <x:c r="I39" s="21" t="str">
        <x:v>CLOSED</x:v>
      </x:c>
      <x:c r="J39" s="21" t="str">
        <x:v>CLOSED_WITHIN_STATED_SOURCE_SCOPE</x:v>
      </x:c>
      <x:c r="K39" s="21" t="str">
        <x:v>PARAPHRASE_WITH_CITATION</x:v>
      </x:c>
      <x:c r="L39" s="21" t="str">
        <x:v>BLOCKED_PENDING_FILE_LEVEL_RIGHTS</x:v>
      </x:c>
      <x:c r="M39" s="21" t="str">
        <x:v>BLOCKED_PENDING_FILE_LEVEL_RIGHTS</x:v>
      </x:c>
      <x:c r="N39" s="21" t="str">
        <x:v>BLOCKED_PENDING_FINAL_RIGHTS_REVIEW</x:v>
      </x:c>
    </x:row>
    <x:row r="40">
      <x:c r="A40" s="21" t="str">
        <x:v>W3-AUTH-UNESCO-GAZA-IMPACT-2026</x:v>
      </x:c>
      <x:c r="B40" s="21" t="str">
        <x:v>Impact on cultural heritage — Gaza</x:v>
      </x:c>
      <x:c r="C40" s="21" t="str">
        <x:v>UNESCO</x:v>
      </x:c>
      <x:c r="D40" s="21" t="str">
        <x:v>official_damage_monitoring_record</x:v>
      </x:c>
      <x:c r="E40" s="21" t="str">
        <x:v>https://www.unesco.org/en/gaza/assessment</x:v>
      </x:c>
      <x:c r="F40" s="21" t="str">
        <x:v>PAGE_EDITORIAL_SOURCE</x:v>
      </x:c>
      <x:c r="G40" s="21" t="n">
        <x:v>9</x:v>
      </x:c>
      <x:c r="H40" s="21" t="n">
        <x:v>9</x:v>
      </x:c>
      <x:c r="I40" s="21" t="str">
        <x:v>CLOSED</x:v>
      </x:c>
      <x:c r="J40" s="21" t="str">
        <x:v>CLOSED_WITHIN_STATED_SOURCE_SCOPE</x:v>
      </x:c>
      <x:c r="K40" s="21" t="str">
        <x:v>PARAPHRASE_WITH_CITATION</x:v>
      </x:c>
      <x:c r="L40" s="21" t="str">
        <x:v>BLOCKED_PENDING_FILE_LEVEL_RIGHTS</x:v>
      </x:c>
      <x:c r="M40" s="21" t="str">
        <x:v>BLOCKED_PENDING_FILE_LEVEL_RIGHTS</x:v>
      </x:c>
      <x:c r="N40" s="21" t="str">
        <x:v>BLOCKED_PENDING_FINAL_RIGHTS_REVIEW</x:v>
      </x:c>
    </x:row>
    <x:row r="41">
      <x:c r="A41" s="21" t="str">
        <x:v>W3-AUTH-UNESCO-PALESTINE-CULTURAL-REPORT-2023</x:v>
      </x:c>
      <x:c r="B41" s="21" t="str">
        <x:v>Preliminary report on cultural and historical damage in Gaza</x:v>
      </x:c>
      <x:c r="C41" s="21" t="str">
        <x:v>Palestinian cultural-sector material hosted by UNESCO</x:v>
      </x:c>
      <x:c r="D41" s="21" t="str">
        <x:v>attributed_party_report_hosted_by_unesco</x:v>
      </x:c>
      <x:c r="E41" s="21" t="str">
        <x:v>https://www.unesco.org/sites/default/files/medias/fichiers/2024/03/16_palestine_cultural_gaza.pdf</x:v>
      </x:c>
      <x:c r="F41" s="21" t="str">
        <x:v>PAGE_EDITORIAL_SOURCE</x:v>
      </x:c>
      <x:c r="G41" s="21" t="n">
        <x:v>3</x:v>
      </x:c>
      <x:c r="H41" s="21" t="n">
        <x:v>3</x:v>
      </x:c>
      <x:c r="I41" s="21" t="str">
        <x:v>CLOSED</x:v>
      </x:c>
      <x:c r="J41" s="21" t="str">
        <x:v>CLOSED_WITHIN_STATED_SOURCE_SCOPE</x:v>
      </x:c>
      <x:c r="K41" s="21" t="str">
        <x:v>PARAPHRASE_WITH_CITATION</x:v>
      </x:c>
      <x:c r="L41" s="21" t="str">
        <x:v>BLOCKED_PENDING_FILE_LEVEL_RIGHTS</x:v>
      </x:c>
      <x:c r="M41" s="21" t="str">
        <x:v>BLOCKED_PENDING_FILE_LEVEL_RIGHTS</x:v>
      </x:c>
      <x:c r="N41" s="21" t="str">
        <x:v>BLOCKED_PENDING_FINAL_RIGHTS_REVIEW</x:v>
      </x:c>
    </x:row>
    <x:row r="42">
      <x:c r="A42" s="21" t="str">
        <x:v>W4-ACADEMIC-CAMBRIDGE-TELL-FARAH</x:v>
      </x:c>
      <x:c r="B42" s="21" t="str">
        <x:v>The Archaeology of the Bronze Age Levant — Tell el-Far'ah North</x:v>
      </x:c>
      <x:c r="C42" s="21" t="str">
        <x:v>Cambridge University Press</x:v>
      </x:c>
      <x:c r="D42" s="21" t="str">
        <x:v>academic_synthesis</x:v>
      </x:c>
      <x:c r="E42" s="21" t="str">
        <x:v>https://www.cambridge.org/core/books/archaeology-of-the-bronze-age-levant/urbanism-and-its-demise-in-the-early-bronze-ii-and-iii/B7CB62423B49CA8E652456E6DF436B14</x:v>
      </x:c>
      <x:c r="F42" s="21" t="str">
        <x:v>REGISTERED_SOURCE_NOT_CURRENTLY_ADOPTED</x:v>
      </x:c>
      <x:c r="G42" s="21" t="n">
        <x:v>0</x:v>
      </x:c>
      <x:c r="H42" s="21" t="n">
        <x:v>0</x:v>
      </x:c>
      <x:c r="I42" s="21" t="str">
        <x:v>CLOSED</x:v>
      </x:c>
      <x:c r="J42" s="21" t="str">
        <x:v>NOT_CLOSED_FOR_LINKED_CLAIM</x:v>
      </x:c>
      <x:c r="K42" s="21" t="str">
        <x:v>PARAPHRASE_WITH_CITATION</x:v>
      </x:c>
      <x:c r="L42" s="21" t="str">
        <x:v>BLOCKED_PENDING_FILE_LEVEL_RIGHTS</x:v>
      </x:c>
      <x:c r="M42" s="21" t="str">
        <x:v>BLOCKED_PENDING_FILE_LEVEL_RIGHTS</x:v>
      </x:c>
      <x:c r="N42" s="21" t="str">
        <x:v>BLOCKED_PENDING_FINAL_RIGHTS_REVIEW</x:v>
      </x:c>
    </x:row>
    <x:row r="43">
      <x:c r="A43" s="21" t="str">
        <x:v>W4-ACADEMIC-EBAF-TELL-FARAH-CORPUS</x:v>
      </x:c>
      <x:c r="B43" s="21" t="str">
        <x:v>Tell el-Far'ah excavation and publication corpus</x:v>
      </x:c>
      <x:c r="C43" s="21" t="str">
        <x:v>École biblique et archéologique française de Jérusalem</x:v>
      </x:c>
      <x:c r="D43" s="21" t="str">
        <x:v>academic_excavation_institution_record</x:v>
      </x:c>
      <x:c r="E43" s="21" t="str">
        <x:v>https://www.ebaf.edu/publications-2/1144-2/</x:v>
      </x:c>
      <x:c r="F43" s="21" t="str">
        <x:v>PAGE_EDITORIAL_SOURCE</x:v>
      </x:c>
      <x:c r="G43" s="21" t="n">
        <x:v>1</x:v>
      </x:c>
      <x:c r="H43" s="21" t="n">
        <x:v>2</x:v>
      </x:c>
      <x:c r="I43" s="21" t="str">
        <x:v>CLOSED</x:v>
      </x:c>
      <x:c r="J43" s="21" t="str">
        <x:v>CLOSED_WITHIN_STATED_SOURCE_SCOPE</x:v>
      </x:c>
      <x:c r="K43" s="21" t="str">
        <x:v>PARAPHRASE_WITH_CITATION</x:v>
      </x:c>
      <x:c r="L43" s="21" t="str">
        <x:v>BLOCKED_PENDING_FILE_LEVEL_RIGHTS</x:v>
      </x:c>
      <x:c r="M43" s="21" t="str">
        <x:v>BLOCKED_PENDING_FILE_LEVEL_RIGHTS</x:v>
      </x:c>
      <x:c r="N43" s="21" t="str">
        <x:v>BLOCKED_PENDING_FINAL_RIGHTS_REVIEW</x:v>
      </x:c>
    </x:row>
    <x:row r="44">
      <x:c r="A44" s="21" t="str">
        <x:v>W4-ACADEMIC-JQ-MAQAM-YUSUF-2023</x:v>
      </x:c>
      <x:c r="B44" s="21" t="str">
        <x:v>Sacred Space/Contested Place: Intergenerational Memory and the Shifting Meanings of the Shrine/Tomb of Joseph</x:v>
      </x:c>
      <x:c r="C44" s="21" t="str">
        <x:v>Jerusalem Quarterly / Institute for Palestine Studies</x:v>
      </x:c>
      <x:c r="D44" s="21" t="str">
        <x:v>peer_reviewed_or_editorially_reviewed_academic_article</x:v>
      </x:c>
      <x:c r="E44" s="21" t="str">
        <x:v>https://www.palestine-studies.org/sites/default/files/jq-articles/Sacred%20Space-Contested%20Place%20-%20Intergenerational%20Memory%20and%20the%20Shifting%20Meanings%20of%20the%20Shrine%2C%20Tomb%20of%20Joseph.pdf</x:v>
      </x:c>
      <x:c r="F44" s="21" t="str">
        <x:v>PAGE_EDITORIAL_SOURCE</x:v>
      </x:c>
      <x:c r="G44" s="21" t="n">
        <x:v>1</x:v>
      </x:c>
      <x:c r="H44" s="21" t="n">
        <x:v>2</x:v>
      </x:c>
      <x:c r="I44" s="21" t="str">
        <x:v>CLOSED</x:v>
      </x:c>
      <x:c r="J44" s="21" t="str">
        <x:v>CLOSED_WITHIN_STATED_SOURCE_SCOPE</x:v>
      </x:c>
      <x:c r="K44" s="21" t="str">
        <x:v>PARAPHRASE_WITH_CITATION</x:v>
      </x:c>
      <x:c r="L44" s="21" t="str">
        <x:v>BLOCKED_PENDING_FILE_LEVEL_RIGHTS</x:v>
      </x:c>
      <x:c r="M44" s="21" t="str">
        <x:v>BLOCKED_PENDING_FILE_LEVEL_RIGHTS</x:v>
      </x:c>
      <x:c r="N44" s="21" t="str">
        <x:v>BLOCKED_PENDING_FINAL_RIGHTS_REVIEW</x:v>
      </x:c>
    </x:row>
    <x:row r="45">
      <x:c r="A45" s="21" t="str">
        <x:v>W4-AUTH-MOTA-BURQIN</x:v>
      </x:c>
      <x:c r="B45" s="21" t="str">
        <x:v>Burqin Church</x:v>
      </x:c>
      <x:c r="C45" s="21" t="str">
        <x:v>Palestinian Ministry of Tourism and Antiquities — Travel Palestine</x:v>
      </x:c>
      <x:c r="D45" s="21" t="str">
        <x:v>official_palestinian_heritage_portal</x:v>
      </x:c>
      <x:c r="E45" s="21" t="str">
        <x:v>https://www.travelpalestine.ps/en/Site/38/Burqin-Church</x:v>
      </x:c>
      <x:c r="F45" s="21" t="str">
        <x:v>PAGE_EDITORIAL_SOURCE</x:v>
      </x:c>
      <x:c r="G45" s="21" t="n">
        <x:v>1</x:v>
      </x:c>
      <x:c r="H45" s="21" t="n">
        <x:v>1</x:v>
      </x:c>
      <x:c r="I45" s="21" t="str">
        <x:v>CLOSED</x:v>
      </x:c>
      <x:c r="J45" s="21" t="str">
        <x:v>CLOSED_LIMITED_TO_INSPECTED_RECORD</x:v>
      </x:c>
      <x:c r="K45" s="21" t="str">
        <x:v>PARAPHRASE_WITH_CITATION</x:v>
      </x:c>
      <x:c r="L45" s="21" t="str">
        <x:v>BLOCKED_PENDING_FILE_LEVEL_RIGHTS</x:v>
      </x:c>
      <x:c r="M45" s="21" t="str">
        <x:v>BLOCKED_PENDING_FILE_LEVEL_RIGHTS</x:v>
      </x:c>
      <x:c r="N45" s="21" t="str">
        <x:v>BLOCKED_PENDING_FINAL_RIGHTS_REVIEW</x:v>
      </x:c>
    </x:row>
    <x:row r="46">
      <x:c r="A46" s="21" t="str">
        <x:v>W4-AUTH-MOTA-DEIR-ISTIYA</x:v>
      </x:c>
      <x:c r="B46" s="21" t="str">
        <x:v>Deir Istiya</x:v>
      </x:c>
      <x:c r="C46" s="21" t="str">
        <x:v>Palestinian Ministry of Tourism and Antiquities — Travel Palestine</x:v>
      </x:c>
      <x:c r="D46" s="21" t="str">
        <x:v>official_palestinian_heritage_portal</x:v>
      </x:c>
      <x:c r="E46" s="21" t="str">
        <x:v>https://www.travelpalestine.ps/en/Site/280/Deir-Istiya</x:v>
      </x:c>
      <x:c r="F46" s="21" t="str">
        <x:v>PAGE_EDITORIAL_SOURCE</x:v>
      </x:c>
      <x:c r="G46" s="21" t="n">
        <x:v>2</x:v>
      </x:c>
      <x:c r="H46" s="21" t="n">
        <x:v>2</x:v>
      </x:c>
      <x:c r="I46" s="21" t="str">
        <x:v>CLOSED</x:v>
      </x:c>
      <x:c r="J46" s="21" t="str">
        <x:v>CLOSED_WITHIN_STATED_SOURCE_SCOPE</x:v>
      </x:c>
      <x:c r="K46" s="21" t="str">
        <x:v>PARAPHRASE_WITH_CITATION</x:v>
      </x:c>
      <x:c r="L46" s="21" t="str">
        <x:v>BLOCKED_PENDING_FILE_LEVEL_RIGHTS</x:v>
      </x:c>
      <x:c r="M46" s="21" t="str">
        <x:v>BLOCKED_PENDING_FILE_LEVEL_RIGHTS</x:v>
      </x:c>
      <x:c r="N46" s="21" t="str">
        <x:v>BLOCKED_PENDING_FINAL_RIGHTS_REVIEW</x:v>
      </x:c>
    </x:row>
    <x:row r="47">
      <x:c r="A47" s="21" t="str">
        <x:v>W4-AUTH-MOTA-JENIN-FATIMA-KHATUN</x:v>
      </x:c>
      <x:c r="B47" s="21" t="str">
        <x:v>Fatima Khatun Mosque</x:v>
      </x:c>
      <x:c r="C47" s="21" t="str">
        <x:v>Palestinian Ministry of Tourism and Antiquities — Travel Palestine</x:v>
      </x:c>
      <x:c r="D47" s="21" t="str">
        <x:v>official_palestinian_heritage_portal</x:v>
      </x:c>
      <x:c r="E47" s="21" t="str">
        <x:v>https://www.travelpalestine.ps/en/Site/37/Fatima-Khatun-Mosque</x:v>
      </x:c>
      <x:c r="F47" s="21" t="str">
        <x:v>PAGE_EDITORIAL_SOURCE</x:v>
      </x:c>
      <x:c r="G47" s="21" t="n">
        <x:v>1</x:v>
      </x:c>
      <x:c r="H47" s="21" t="n">
        <x:v>1</x:v>
      </x:c>
      <x:c r="I47" s="21" t="str">
        <x:v>CLOSED</x:v>
      </x:c>
      <x:c r="J47" s="21" t="str">
        <x:v>CLOSED_WITHIN_STATED_SOURCE_SCOPE</x:v>
      </x:c>
      <x:c r="K47" s="21" t="str">
        <x:v>PARAPHRASE_WITH_CITATION</x:v>
      </x:c>
      <x:c r="L47" s="21" t="str">
        <x:v>BLOCKED_PENDING_FILE_LEVEL_RIGHTS</x:v>
      </x:c>
      <x:c r="M47" s="21" t="str">
        <x:v>BLOCKED_PENDING_FILE_LEVEL_RIGHTS</x:v>
      </x:c>
      <x:c r="N47" s="21" t="str">
        <x:v>BLOCKED_PENDING_FINAL_RIGHTS_REVIEW</x:v>
      </x:c>
    </x:row>
    <x:row r="48">
      <x:c r="A48" s="21" t="str">
        <x:v>W4-AUTH-MOTA-JENIN-SIBAT</x:v>
      </x:c>
      <x:c r="B48" s="21" t="str">
        <x:v>Al Sibat Souq</x:v>
      </x:c>
      <x:c r="C48" s="21" t="str">
        <x:v>Palestinian Ministry of Tourism and Antiquities — Travel Palestine</x:v>
      </x:c>
      <x:c r="D48" s="21" t="str">
        <x:v>official_palestinian_heritage_portal</x:v>
      </x:c>
      <x:c r="E48" s="21" t="str">
        <x:v>https://www.travelpalestine.ps/en/Site/46/Al-Sibat-Souq</x:v>
      </x:c>
      <x:c r="F48" s="21" t="str">
        <x:v>PAGE_EDITORIAL_SOURCE</x:v>
      </x:c>
      <x:c r="G48" s="21" t="n">
        <x:v>1</x:v>
      </x:c>
      <x:c r="H48" s="21" t="n">
        <x:v>1</x:v>
      </x:c>
      <x:c r="I48" s="21" t="str">
        <x:v>CLOSED</x:v>
      </x:c>
      <x:c r="J48" s="21" t="str">
        <x:v>CLOSED_WITHIN_STATED_SOURCE_SCOPE</x:v>
      </x:c>
      <x:c r="K48" s="21" t="str">
        <x:v>PARAPHRASE_WITH_CITATION</x:v>
      </x:c>
      <x:c r="L48" s="21" t="str">
        <x:v>BLOCKED_PENDING_FILE_LEVEL_RIGHTS</x:v>
      </x:c>
      <x:c r="M48" s="21" t="str">
        <x:v>BLOCKED_PENDING_FILE_LEVEL_RIGHTS</x:v>
      </x:c>
      <x:c r="N48" s="21" t="str">
        <x:v>BLOCKED_PENDING_FINAL_RIGHTS_REVIEW</x:v>
      </x:c>
    </x:row>
    <x:row r="49">
      <x:c r="A49" s="21" t="str">
        <x:v>W4-AUTH-MOTA-KAYED-SEBASTIA</x:v>
      </x:c>
      <x:c r="B49" s="21" t="str">
        <x:v>Al-Kayed Palace</x:v>
      </x:c>
      <x:c r="C49" s="21" t="str">
        <x:v>Palestinian Ministry of Tourism and Antiquities — Travel Palestine</x:v>
      </x:c>
      <x:c r="D49" s="21" t="str">
        <x:v>official_palestinian_heritage_portal_identity_record</x:v>
      </x:c>
      <x:c r="E49" s="21" t="str">
        <x:v>https://www.travelpalestine.ps/en/Site/70/Al-Kayed-Palace</x:v>
      </x:c>
      <x:c r="F49" s="21" t="str">
        <x:v>PAGE_EDITORIAL_SOURCE</x:v>
      </x:c>
      <x:c r="G49" s="21" t="n">
        <x:v>1</x:v>
      </x:c>
      <x:c r="H49" s="21" t="n">
        <x:v>1</x:v>
      </x:c>
      <x:c r="I49" s="21" t="str">
        <x:v>CLOSED</x:v>
      </x:c>
      <x:c r="J49" s="21" t="str">
        <x:v>CLOSED_WITHIN_STATED_SOURCE_SCOPE</x:v>
      </x:c>
      <x:c r="K49" s="21" t="str">
        <x:v>PARAPHRASE_WITH_CITATION</x:v>
      </x:c>
      <x:c r="L49" s="21" t="str">
        <x:v>BLOCKED_PENDING_FILE_LEVEL_RIGHTS</x:v>
      </x:c>
      <x:c r="M49" s="21" t="str">
        <x:v>BLOCKED_PENDING_FILE_LEVEL_RIGHTS</x:v>
      </x:c>
      <x:c r="N49" s="21" t="str">
        <x:v>BLOCKED_PENDING_FINAL_RIGHTS_REVIEW</x:v>
      </x:c>
    </x:row>
    <x:row r="50">
      <x:c r="A50" s="21" t="str">
        <x:v>W4-AUTH-MOTA-KHAN-TUJJAR</x:v>
      </x:c>
      <x:c r="B50" s="21" t="str">
        <x:v>Khan Al-Tujjar (Fabric Market)</x:v>
      </x:c>
      <x:c r="C50" s="21" t="str">
        <x:v>Palestinian Ministry of Tourism and Antiquities — Travel Palestine</x:v>
      </x:c>
      <x:c r="D50" s="21" t="str">
        <x:v>official_palestinian_heritage_portal</x:v>
      </x:c>
      <x:c r="E50" s="21" t="str">
        <x:v>https://www.travelpalestine.ps/en/Site/115/Khan-Al-Tujjar-%28Fabric-Market%29</x:v>
      </x:c>
      <x:c r="F50" s="21" t="str">
        <x:v>PAGE_EDITORIAL_SOURCE</x:v>
      </x:c>
      <x:c r="G50" s="21" t="n">
        <x:v>1</x:v>
      </x:c>
      <x:c r="H50" s="21" t="n">
        <x:v>1</x:v>
      </x:c>
      <x:c r="I50" s="21" t="str">
        <x:v>CLOSED</x:v>
      </x:c>
      <x:c r="J50" s="21" t="str">
        <x:v>CLOSED_WITHIN_STATED_SOURCE_SCOPE</x:v>
      </x:c>
      <x:c r="K50" s="21" t="str">
        <x:v>PARAPHRASE_WITH_CITATION</x:v>
      </x:c>
      <x:c r="L50" s="21" t="str">
        <x:v>BLOCKED_PENDING_FILE_LEVEL_RIGHTS</x:v>
      </x:c>
      <x:c r="M50" s="21" t="str">
        <x:v>BLOCKED_PENDING_FILE_LEVEL_RIGHTS</x:v>
      </x:c>
      <x:c r="N50" s="21" t="str">
        <x:v>BLOCKED_PENDING_FINAL_RIGHTS_REVIEW</x:v>
      </x:c>
    </x:row>
    <x:row r="51">
      <x:c r="A51" s="21" t="str">
        <x:v>W4-AUTH-MOTA-KIFL-HARIS-SHRINES</x:v>
      </x:c>
      <x:c r="B51" s="21" t="str">
        <x:v>Kifl Haris Shrines</x:v>
      </x:c>
      <x:c r="C51" s="21" t="str">
        <x:v>Palestinian Ministry of Tourism and Antiquities — Travel Palestine</x:v>
      </x:c>
      <x:c r="D51" s="21" t="str">
        <x:v>official_palestinian_heritage_portal</x:v>
      </x:c>
      <x:c r="E51" s="21" t="str">
        <x:v>https://www.travelpalestine.ps/en/Site/283/Kifl-Haris-Shrines</x:v>
      </x:c>
      <x:c r="F51" s="21" t="str">
        <x:v>REGISTERED_SOURCE_NOT_CURRENTLY_ADOPTED</x:v>
      </x:c>
      <x:c r="G51" s="21" t="n">
        <x:v>0</x:v>
      </x:c>
      <x:c r="H51" s="21" t="n">
        <x:v>0</x:v>
      </x:c>
      <x:c r="I51" s="21" t="str">
        <x:v>CLOSED</x:v>
      </x:c>
      <x:c r="J51" s="21" t="str">
        <x:v>CLOSED_WITHIN_STATED_SOURCE_SCOPE</x:v>
      </x:c>
      <x:c r="K51" s="21" t="str">
        <x:v>PARAPHRASE_WITH_CITATION</x:v>
      </x:c>
      <x:c r="L51" s="21" t="str">
        <x:v>BLOCKED_PENDING_FILE_LEVEL_RIGHTS</x:v>
      </x:c>
      <x:c r="M51" s="21" t="str">
        <x:v>BLOCKED_PENDING_FILE_LEVEL_RIGHTS</x:v>
      </x:c>
      <x:c r="N51" s="21" t="str">
        <x:v>BLOCKED_PENDING_FINAL_RIGHTS_REVIEW</x:v>
      </x:c>
    </x:row>
    <x:row r="52">
      <x:c r="A52" s="21" t="str">
        <x:v>W4-AUTH-MOTA-NABLUS-OLD-CITY</x:v>
      </x:c>
      <x:c r="B52" s="21" t="str">
        <x:v>The Old City of Nablus</x:v>
      </x:c>
      <x:c r="C52" s="21" t="str">
        <x:v>Palestinian Ministry of Tourism and Antiquities — Travel Palestine</x:v>
      </x:c>
      <x:c r="D52" s="21" t="str">
        <x:v>official_palestinian_heritage_portal</x:v>
      </x:c>
      <x:c r="E52" s="21" t="str">
        <x:v>https://www.travelpalestine.ps/en/Site/92/The-Old-City-of-Nablus</x:v>
      </x:c>
      <x:c r="F52" s="21" t="str">
        <x:v>PAGE_EDITORIAL_SOURCE</x:v>
      </x:c>
      <x:c r="G52" s="21" t="n">
        <x:v>2</x:v>
      </x:c>
      <x:c r="H52" s="21" t="n">
        <x:v>2</x:v>
      </x:c>
      <x:c r="I52" s="21" t="str">
        <x:v>CLOSED</x:v>
      </x:c>
      <x:c r="J52" s="21" t="str">
        <x:v>CLOSED_WITHIN_STATED_SOURCE_SCOPE</x:v>
      </x:c>
      <x:c r="K52" s="21" t="str">
        <x:v>PARAPHRASE_WITH_CITATION</x:v>
      </x:c>
      <x:c r="L52" s="21" t="str">
        <x:v>BLOCKED_PENDING_FILE_LEVEL_RIGHTS</x:v>
      </x:c>
      <x:c r="M52" s="21" t="str">
        <x:v>BLOCKED_PENDING_FILE_LEVEL_RIGHTS</x:v>
      </x:c>
      <x:c r="N52" s="21" t="str">
        <x:v>BLOCKED_PENDING_FINAL_RIGHTS_REVIEW</x:v>
      </x:c>
    </x:row>
    <x:row r="53">
      <x:c r="A53" s="21" t="str">
        <x:v>W4-AUTH-MOTA-NASR-CONTEXT</x:v>
      </x:c>
      <x:c r="B53" s="21" t="str">
        <x:v>Bab Al-Saha and Al-Nasr urban context</x:v>
      </x:c>
      <x:c r="C53" s="21" t="str">
        <x:v>Palestinian Ministry of Tourism and Antiquities — Travel Palestine</x:v>
      </x:c>
      <x:c r="D53" s="21" t="str">
        <x:v>official_palestinian_heritage_portal_context</x:v>
      </x:c>
      <x:c r="E53" s="21" t="str">
        <x:v>https://www.travelpalestine.ps/en/Site/87/The-Manara-Clock-Tower-and-Bab-Al-Saha-%28Quarter-of-Nablus%29</x:v>
      </x:c>
      <x:c r="F53" s="21" t="str">
        <x:v>PAGE_EDITORIAL_SOURCE</x:v>
      </x:c>
      <x:c r="G53" s="21" t="n">
        <x:v>1</x:v>
      </x:c>
      <x:c r="H53" s="21" t="n">
        <x:v>1</x:v>
      </x:c>
      <x:c r="I53" s="21" t="str">
        <x:v>CLOSED</x:v>
      </x:c>
      <x:c r="J53" s="21" t="str">
        <x:v>CLOSED_WITHIN_STATED_SOURCE_SCOPE</x:v>
      </x:c>
      <x:c r="K53" s="21" t="str">
        <x:v>PARAPHRASE_WITH_CITATION</x:v>
      </x:c>
      <x:c r="L53" s="21" t="str">
        <x:v>BLOCKED_PENDING_FILE_LEVEL_RIGHTS</x:v>
      </x:c>
      <x:c r="M53" s="21" t="str">
        <x:v>BLOCKED_PENDING_FILE_LEVEL_RIGHTS</x:v>
      </x:c>
      <x:c r="N53" s="21" t="str">
        <x:v>BLOCKED_PENDING_FINAL_RIGHTS_REVIEW</x:v>
      </x:c>
    </x:row>
    <x:row r="54">
      <x:c r="A54" s="21" t="str">
        <x:v>W4-AUTH-MOTA-QALQILYA-HISTORIC-VILLAGES</x:v>
      </x:c>
      <x:c r="B54" s="21" t="str">
        <x:v>Historical Villages in Qalqilya</x:v>
      </x:c>
      <x:c r="C54" s="21" t="str">
        <x:v>Palestinian Ministry of Tourism and Antiquities — Travel Palestine</x:v>
      </x:c>
      <x:c r="D54" s="21" t="str">
        <x:v>official_palestinian_heritage_portal_cluster</x:v>
      </x:c>
      <x:c r="E54" s="21" t="str">
        <x:v>https://www.travelpalestine.ps/en/Site/131/Historical-Villages-in-Qalqilya</x:v>
      </x:c>
      <x:c r="F54" s="21" t="str">
        <x:v>REGISTERED_SOURCE_NOT_CURRENTLY_ADOPTED</x:v>
      </x:c>
      <x:c r="G54" s="21" t="n">
        <x:v>0</x:v>
      </x:c>
      <x:c r="H54" s="21" t="n">
        <x:v>0</x:v>
      </x:c>
      <x:c r="I54" s="21" t="str">
        <x:v>CLOSED</x:v>
      </x:c>
      <x:c r="J54" s="21" t="str">
        <x:v>NO_CONFIRMED_CLAIM_TO_CLOSE</x:v>
      </x:c>
      <x:c r="K54" s="21" t="str">
        <x:v>PARAPHRASE_WITH_CITATION</x:v>
      </x:c>
      <x:c r="L54" s="21" t="str">
        <x:v>BLOCKED_PENDING_FILE_LEVEL_RIGHTS</x:v>
      </x:c>
      <x:c r="M54" s="21" t="str">
        <x:v>BLOCKED_PENDING_FILE_LEVEL_RIGHTS</x:v>
      </x:c>
      <x:c r="N54" s="21" t="str">
        <x:v>BLOCKED_PENDING_FINAL_RIGHTS_REVIEW</x:v>
      </x:c>
    </x:row>
    <x:row r="55">
      <x:c r="A55" s="21" t="str">
        <x:v>W4-AUTH-MOTA-TULKARM-MUSEUM</x:v>
      </x:c>
      <x:c r="B55" s="21" t="str">
        <x:v>The Museum of Tulkarem</x:v>
      </x:c>
      <x:c r="C55" s="21" t="str">
        <x:v>Palestinian Ministry of Tourism and Antiquities — Travel Palestine</x:v>
      </x:c>
      <x:c r="D55" s="21" t="str">
        <x:v>official_palestinian_museum_record</x:v>
      </x:c>
      <x:c r="E55" s="21" t="str">
        <x:v>https://www.travelpalestine.ps/en/Site/157/The-Museum-of-Tulkarem</x:v>
      </x:c>
      <x:c r="F55" s="21" t="str">
        <x:v>PAGE_EDITORIAL_SOURCE</x:v>
      </x:c>
      <x:c r="G55" s="21" t="n">
        <x:v>1</x:v>
      </x:c>
      <x:c r="H55" s="21" t="n">
        <x:v>1</x:v>
      </x:c>
      <x:c r="I55" s="21" t="str">
        <x:v>CLOSED</x:v>
      </x:c>
      <x:c r="J55" s="21" t="str">
        <x:v>CLOSED_LIMITED_TO_INSPECTED_RECORD</x:v>
      </x:c>
      <x:c r="K55" s="21" t="str">
        <x:v>PARAPHRASE_WITH_CITATION</x:v>
      </x:c>
      <x:c r="L55" s="21" t="str">
        <x:v>BLOCKED_PENDING_FILE_LEVEL_RIGHTS</x:v>
      </x:c>
      <x:c r="M55" s="21" t="str">
        <x:v>BLOCKED_PENDING_FILE_LEVEL_RIGHTS</x:v>
      </x:c>
      <x:c r="N55" s="21" t="str">
        <x:v>BLOCKED_PENDING_FINAL_RIGHTS_REVIEW</x:v>
      </x:c>
    </x:row>
    <x:row r="56">
      <x:c r="A56" s="21" t="str">
        <x:v>W4-AUTH-MOTA-YASMINA-ATOUT</x:v>
      </x:c>
      <x:c r="B56" s="21" t="str">
        <x:v>Hosh Al-Atout — Al-Yasmina Quarter</x:v>
      </x:c>
      <x:c r="C56" s="21" t="str">
        <x:v>Palestinian Ministry of Tourism and Antiquities — Travel Palestine</x:v>
      </x:c>
      <x:c r="D56" s="21" t="str">
        <x:v>official_palestinian_heritage_portal</x:v>
      </x:c>
      <x:c r="E56" s="21" t="str">
        <x:v>https://www.travelpalestine.ps/en/Site/110/Hosh-Al-Atout-%28Quarter%29</x:v>
      </x:c>
      <x:c r="F56" s="21" t="str">
        <x:v>PAGE_EDITORIAL_SOURCE</x:v>
      </x:c>
      <x:c r="G56" s="21" t="n">
        <x:v>1</x:v>
      </x:c>
      <x:c r="H56" s="21" t="n">
        <x:v>2</x:v>
      </x:c>
      <x:c r="I56" s="21" t="str">
        <x:v>CLOSED</x:v>
      </x:c>
      <x:c r="J56" s="21" t="str">
        <x:v>CLOSED_WITHIN_STATED_SOURCE_SCOPE</x:v>
      </x:c>
      <x:c r="K56" s="21" t="str">
        <x:v>PARAPHRASE_WITH_CITATION</x:v>
      </x:c>
      <x:c r="L56" s="21" t="str">
        <x:v>BLOCKED_PENDING_FILE_LEVEL_RIGHTS</x:v>
      </x:c>
      <x:c r="M56" s="21" t="str">
        <x:v>BLOCKED_PENDING_FILE_LEVEL_RIGHTS</x:v>
      </x:c>
      <x:c r="N56" s="21" t="str">
        <x:v>BLOCKED_PENDING_FINAL_RIGHTS_REVIEW</x:v>
      </x:c>
    </x:row>
    <x:row r="57">
      <x:c r="A57" s="21" t="str">
        <x:v>W4-AUTH-RIWAQ-50-CENTRES</x:v>
      </x:c>
      <x:c r="B57" s="21" t="str">
        <x:v>50 Historic Centers</x:v>
      </x:c>
      <x:c r="C57" s="21" t="str">
        <x:v>Riwaq Centre for Architectural Conservation</x:v>
      </x:c>
      <x:c r="D57" s="21" t="str">
        <x:v>palestinian_architectural_heritage_registry_programme</x:v>
      </x:c>
      <x:c r="E57" s="21" t="str">
        <x:v>https://www.riwaq.org/page/14</x:v>
      </x:c>
      <x:c r="F57" s="21" t="str">
        <x:v>PAGE_EDITORIAL_SOURCE</x:v>
      </x:c>
      <x:c r="G57" s="21" t="n">
        <x:v>1</x:v>
      </x:c>
      <x:c r="H57" s="21" t="n">
        <x:v>1</x:v>
      </x:c>
      <x:c r="I57" s="21" t="str">
        <x:v>CLOSED</x:v>
      </x:c>
      <x:c r="J57" s="21" t="str">
        <x:v>CLOSED_LIMITED_TO_INSPECTED_RECORD</x:v>
      </x:c>
      <x:c r="K57" s="21" t="str">
        <x:v>PARAPHRASE_WITH_CITATION</x:v>
      </x:c>
      <x:c r="L57" s="21" t="str">
        <x:v>BLOCKED_PENDING_FILE_LEVEL_RIGHTS</x:v>
      </x:c>
      <x:c r="M57" s="21" t="str">
        <x:v>BLOCKED_PENDING_FILE_LEVEL_RIGHTS</x:v>
      </x:c>
      <x:c r="N57" s="21" t="str">
        <x:v>BLOCKED_PENDING_FINAL_RIGHTS_REVIEW</x:v>
      </x:c>
    </x:row>
    <x:row r="58">
      <x:c r="A58" s="21" t="str">
        <x:v>W4-AUTH-RIWAQ-DEIR-ISTIYA-PALACES</x:v>
      </x:c>
      <x:c r="B58" s="21" t="str">
        <x:v>Deir Istiya Palaces</x:v>
      </x:c>
      <x:c r="C58" s="21" t="str">
        <x:v>Riwaq Centre for Architectural Conservation</x:v>
      </x:c>
      <x:c r="D58" s="21" t="str">
        <x:v>palestinian_architectural_conservation_record</x:v>
      </x:c>
      <x:c r="E58" s="21" t="str">
        <x:v>https://www.riwaq.org/page/16</x:v>
      </x:c>
      <x:c r="F58" s="21" t="str">
        <x:v>PAGE_EDITORIAL_SOURCE</x:v>
      </x:c>
      <x:c r="G58" s="21" t="n">
        <x:v>1</x:v>
      </x:c>
      <x:c r="H58" s="21" t="n">
        <x:v>1</x:v>
      </x:c>
      <x:c r="I58" s="21" t="str">
        <x:v>CLOSED</x:v>
      </x:c>
      <x:c r="J58" s="21" t="str">
        <x:v>CLOSED_LIMITED_TO_INSPECTED_RECORD</x:v>
      </x:c>
      <x:c r="K58" s="21" t="str">
        <x:v>PARAPHRASE_WITH_CITATION</x:v>
      </x:c>
      <x:c r="L58" s="21" t="str">
        <x:v>BLOCKED_PENDING_FILE_LEVEL_RIGHTS</x:v>
      </x:c>
      <x:c r="M58" s="21" t="str">
        <x:v>BLOCKED_PENDING_FILE_LEVEL_RIGHTS</x:v>
      </x:c>
      <x:c r="N58" s="21" t="str">
        <x:v>BLOCKED_PENDING_FINAL_RIGHTS_REVIEW</x:v>
      </x:c>
    </x:row>
    <x:row r="59">
      <x:c r="A59" s="21" t="str">
        <x:v>W4-AUTH-UNESCO-GERIZIM-2012</x:v>
      </x:c>
      <x:c r="B59" s="21" t="str">
        <x:v>Mount Gerizim and the Samaritans</x:v>
      </x:c>
      <x:c r="C59" s="21" t="str">
        <x:v>State of Palestine submission published by UNESCO</x:v>
      </x:c>
      <x:c r="D59" s="21" t="str">
        <x:v>official_state_party_tentative_list_submission</x:v>
      </x:c>
      <x:c r="E59" s="21" t="str">
        <x:v>https://whc.unesco.org/en/tentativelists/5706/</x:v>
      </x:c>
      <x:c r="F59" s="21" t="str">
        <x:v>PAGE_EDITORIAL_SOURCE</x:v>
      </x:c>
      <x:c r="G59" s="21" t="n">
        <x:v>1</x:v>
      </x:c>
      <x:c r="H59" s="21" t="n">
        <x:v>1</x:v>
      </x:c>
      <x:c r="I59" s="21" t="str">
        <x:v>CLOSED</x:v>
      </x:c>
      <x:c r="J59" s="21" t="str">
        <x:v>CLOSED_WITHIN_STATED_SOURCE_SCOPE</x:v>
      </x:c>
      <x:c r="K59" s="21" t="str">
        <x:v>PARAPHRASE_WITH_CITATION</x:v>
      </x:c>
      <x:c r="L59" s="21" t="str">
        <x:v>BLOCKED_PENDING_FILE_LEVEL_RIGHTS</x:v>
      </x:c>
      <x:c r="M59" s="21" t="str">
        <x:v>BLOCKED_PENDING_FILE_LEVEL_RIGHTS</x:v>
      </x:c>
      <x:c r="N59" s="21" t="str">
        <x:v>BLOCKED_PENDING_FINAL_RIGHTS_REVIEW</x:v>
      </x:c>
    </x:row>
    <x:row r="60">
      <x:c r="A60" s="21" t="str">
        <x:v>W4-AUTH-UNESCO-KHAN-WAKALA-2012</x:v>
      </x:c>
      <x:c r="B60" s="21" t="str">
        <x:v>EU and UNESCO restore Nablus' landmark Khan Al-Wakalah</x:v>
      </x:c>
      <x:c r="C60" s="21" t="str">
        <x:v>UNESCO / United Nations Information System on the Question of Palestine</x:v>
      </x:c>
      <x:c r="D60" s="21" t="str">
        <x:v>official_conservation_project_record</x:v>
      </x:c>
      <x:c r="E60" s="21" t="str">
        <x:v>https://www.un.org/unispal/document/auto-insert-204941/</x:v>
      </x:c>
      <x:c r="F60" s="21" t="str">
        <x:v>PAGE_EDITORIAL_SOURCE</x:v>
      </x:c>
      <x:c r="G60" s="21" t="n">
        <x:v>1</x:v>
      </x:c>
      <x:c r="H60" s="21" t="n">
        <x:v>1</x:v>
      </x:c>
      <x:c r="I60" s="21" t="str">
        <x:v>CLOSED</x:v>
      </x:c>
      <x:c r="J60" s="21" t="str">
        <x:v>CLOSED_LIMITED_TO_INSPECTED_RECORD</x:v>
      </x:c>
      <x:c r="K60" s="21" t="str">
        <x:v>LIMITED_USE_WITH_CITATION</x:v>
      </x:c>
      <x:c r="L60" s="21" t="str">
        <x:v>BLOCKED_PENDING_FILE_LEVEL_RIGHTS</x:v>
      </x:c>
      <x:c r="M60" s="21" t="str">
        <x:v>BLOCKED_PENDING_FILE_LEVEL_RIGHTS</x:v>
      </x:c>
      <x:c r="N60" s="21" t="str">
        <x:v>BLOCKED_PENDING_FINAL_RIGHTS_REVIEW</x:v>
      </x:c>
    </x:row>
    <x:row r="61">
      <x:c r="A61" s="21" t="str">
        <x:v>W4-AUTH-UNESCO-NABLUS-2012</x:v>
      </x:c>
      <x:c r="B61" s="21" t="str">
        <x:v>Old Town of Nablus and its environs</x:v>
      </x:c>
      <x:c r="C61" s="21" t="str">
        <x:v>State of Palestine submission published by UNESCO</x:v>
      </x:c>
      <x:c r="D61" s="21" t="str">
        <x:v>official_state_party_tentative_list_submission</x:v>
      </x:c>
      <x:c r="E61" s="21" t="str">
        <x:v>https://whc.unesco.org/en/tentativelists/5714/</x:v>
      </x:c>
      <x:c r="F61" s="21" t="str">
        <x:v>PAGE_EDITORIAL_SOURCE</x:v>
      </x:c>
      <x:c r="G61" s="21" t="n">
        <x:v>1</x:v>
      </x:c>
      <x:c r="H61" s="21" t="n">
        <x:v>1</x:v>
      </x:c>
      <x:c r="I61" s="21" t="str">
        <x:v>CLOSED</x:v>
      </x:c>
      <x:c r="J61" s="21" t="str">
        <x:v>CLOSED_WITHIN_STATED_SOURCE_SCOPE</x:v>
      </x:c>
      <x:c r="K61" s="21" t="str">
        <x:v>PARAPHRASE_WITH_CITATION</x:v>
      </x:c>
      <x:c r="L61" s="21" t="str">
        <x:v>BLOCKED_PENDING_FILE_LEVEL_RIGHTS</x:v>
      </x:c>
      <x:c r="M61" s="21" t="str">
        <x:v>BLOCKED_PENDING_FILE_LEVEL_RIGHTS</x:v>
      </x:c>
      <x:c r="N61" s="21" t="str">
        <x:v>BLOCKED_PENDING_FINAL_RIGHTS_REVIEW</x:v>
      </x:c>
    </x:row>
    <x:row r="62">
      <x:c r="A62" s="21" t="str">
        <x:v>W4-AUTH-UNESCO-RIWAQ-75-STEPS-2023</x:v>
      </x:c>
      <x:c r="B62" s="21" t="str">
        <x:v>75 Steps Towards Preserving Palestinian Cultural Heritage</x:v>
      </x:c>
      <x:c r="C62" s="21" t="str">
        <x:v>UNESCO with Riwaq and Palestinian heritage partners</x:v>
      </x:c>
      <x:c r="D62" s="21" t="str">
        <x:v>official_conservation_programme_record</x:v>
      </x:c>
      <x:c r="E62" s="21" t="str">
        <x:v>https://www.unesco.org/en/articles/75-steps-towards-preserving-palestinian-cultural-heritage</x:v>
      </x:c>
      <x:c r="F62" s="21" t="str">
        <x:v>PAGE_EDITORIAL_SOURCE</x:v>
      </x:c>
      <x:c r="G62" s="21" t="n">
        <x:v>1</x:v>
      </x:c>
      <x:c r="H62" s="21" t="n">
        <x:v>1</x:v>
      </x:c>
      <x:c r="I62" s="21" t="str">
        <x:v>CLOSED</x:v>
      </x:c>
      <x:c r="J62" s="21" t="str">
        <x:v>CLOSED_WITHIN_STATED_SOURCE_SCOPE</x:v>
      </x:c>
      <x:c r="K62" s="21" t="str">
        <x:v>PARAPHRASE_WITH_CITATION</x:v>
      </x:c>
      <x:c r="L62" s="21" t="str">
        <x:v>BLOCKED_PENDING_FILE_LEVEL_RIGHTS</x:v>
      </x:c>
      <x:c r="M62" s="21" t="str">
        <x:v>BLOCKED_PENDING_FILE_LEVEL_RIGHTS</x:v>
      </x:c>
      <x:c r="N62" s="21" t="str">
        <x:v>BLOCKED_PENDING_FINAL_RIGHTS_REVIEW</x:v>
      </x:c>
    </x:row>
    <x:row r="63">
      <x:c r="A63" s="21" t="str">
        <x:v>W5-ACADEMIC-AIN-SAMIYA-TOMB-204-001</x:v>
      </x:c>
      <x:c r="B63" s="21" t="str">
        <x:v>Tomb 204 at 'Ain-Samiya</x:v>
      </x:c>
      <x:c r="C63" s="21" t="str">
        <x:v>Israel Exploration Journal / JSTOR record</x:v>
      </x:c>
      <x:c r="D63" s="21" t="str">
        <x:v>academic_excavation_publication</x:v>
      </x:c>
      <x:c r="E63" s="21" t="str">
        <x:v>https://www.jstor.org/stable/27925264</x:v>
      </x:c>
      <x:c r="F63" s="21" t="str">
        <x:v>PAGE_EDITORIAL_SOURCE</x:v>
      </x:c>
      <x:c r="G63" s="21" t="n">
        <x:v>1</x:v>
      </x:c>
      <x:c r="H63" s="21" t="n">
        <x:v>1</x:v>
      </x:c>
      <x:c r="I63" s="21" t="str">
        <x:v>CLOSED</x:v>
      </x:c>
      <x:c r="J63" s="21" t="str">
        <x:v>CLOSED_WITHIN_STATED_SOURCE_SCOPE</x:v>
      </x:c>
      <x:c r="K63" s="21" t="str">
        <x:v>PARAPHRASE_WITH_CITATION</x:v>
      </x:c>
      <x:c r="L63" s="21" t="str">
        <x:v>BLOCKED_PENDING_FILE_LEVEL_RIGHTS</x:v>
      </x:c>
      <x:c r="M63" s="21" t="str">
        <x:v>BLOCKED_PENDING_FILE_LEVEL_RIGHTS</x:v>
      </x:c>
      <x:c r="N63" s="21" t="str">
        <x:v>BLOCKED_PENDING_FINAL_RIGHTS_REVIEW</x:v>
      </x:c>
    </x:row>
    <x:row r="64">
      <x:c r="A64" s="21" t="str">
        <x:v>W5-ACADEMIC-CAMBRIDGE-AIN-SAMIYA-001</x:v>
      </x:c>
      <x:c r="B64" s="21" t="str">
        <x:v>The Archaeology of the Bronze Age Levant — Intermediate Bronze Age</x:v>
      </x:c>
      <x:c r="C64" s="21" t="str">
        <x:v>Cambridge University Press</x:v>
      </x:c>
      <x:c r="D64" s="21" t="str">
        <x:v>academic_synthesis</x:v>
      </x:c>
      <x:c r="E64" s="21" t="str">
        <x:v>https://www.cambridge.org/core/books/archaeology-of-the-bronze-age-levant/intermediate-bronze-age/FDADC29CDE3FFAAAF16FF0DDD64B5CF6</x:v>
      </x:c>
      <x:c r="F64" s="21" t="str">
        <x:v>PAGE_EDITORIAL_SOURCE</x:v>
      </x:c>
      <x:c r="G64" s="21" t="n">
        <x:v>1</x:v>
      </x:c>
      <x:c r="H64" s="21" t="n">
        <x:v>1</x:v>
      </x:c>
      <x:c r="I64" s="21" t="str">
        <x:v>CLOSED</x:v>
      </x:c>
      <x:c r="J64" s="21" t="str">
        <x:v>CLOSED_WITHIN_STATED_SOURCE_SCOPE</x:v>
      </x:c>
      <x:c r="K64" s="21" t="str">
        <x:v>PARAPHRASE_WITH_CITATION</x:v>
      </x:c>
      <x:c r="L64" s="21" t="str">
        <x:v>BLOCKED_PENDING_FILE_LEVEL_RIGHTS</x:v>
      </x:c>
      <x:c r="M64" s="21" t="str">
        <x:v>BLOCKED_PENDING_FILE_LEVEL_RIGHTS</x:v>
      </x:c>
      <x:c r="N64" s="21" t="str">
        <x:v>BLOCKED_PENDING_FINAL_RIGHTS_REVIEW</x:v>
      </x:c>
    </x:row>
    <x:row r="65">
      <x:c r="A65" s="21" t="str">
        <x:v>W5-AUTH-MOTA-ABOUD-BARBARA-001</x:v>
      </x:c>
      <x:c r="B65" s="21" t="str">
        <x:v>St. Barbara Church in Aboud</x:v>
      </x:c>
      <x:c r="C65" s="21" t="str">
        <x:v>Palestinian Ministry of Tourism and Antiquities — Travel Palestine</x:v>
      </x:c>
      <x:c r="D65" s="21" t="str">
        <x:v>official_palestinian_architectural_and_archaeological_record</x:v>
      </x:c>
      <x:c r="E65" s="21" t="str">
        <x:v>https://www.travelpalestine.ps/en/Site/416/St-Barbara-Church-in-Aboud</x:v>
      </x:c>
      <x:c r="F65" s="21" t="str">
        <x:v>PAGE_EDITORIAL_SOURCE</x:v>
      </x:c>
      <x:c r="G65" s="21" t="n">
        <x:v>1</x:v>
      </x:c>
      <x:c r="H65" s="21" t="n">
        <x:v>1</x:v>
      </x:c>
      <x:c r="I65" s="21" t="str">
        <x:v>CLOSED</x:v>
      </x:c>
      <x:c r="J65" s="21" t="str">
        <x:v>CLOSED_WITHIN_STATED_SOURCE_SCOPE</x:v>
      </x:c>
      <x:c r="K65" s="21" t="str">
        <x:v>PARAPHRASE_WITH_CITATION</x:v>
      </x:c>
      <x:c r="L65" s="21" t="str">
        <x:v>BLOCKED_PENDING_FILE_LEVEL_RIGHTS</x:v>
      </x:c>
      <x:c r="M65" s="21" t="str">
        <x:v>BLOCKED_PENDING_FILE_LEVEL_RIGHTS</x:v>
      </x:c>
      <x:c r="N65" s="21" t="str">
        <x:v>BLOCKED_PENDING_FINAL_RIGHTS_REVIEW</x:v>
      </x:c>
    </x:row>
    <x:row r="66">
      <x:c r="A66" s="21" t="str">
        <x:v>W5-AUTH-MOTA-ABOUD-DORMITION-001</x:v>
      </x:c>
      <x:c r="B66" s="21" t="str">
        <x:v>Dormition of the Theotokos Church — Al-Aboudieh</x:v>
      </x:c>
      <x:c r="C66" s="21" t="str">
        <x:v>Palestinian Ministry of Tourism and Antiquities — Travel Palestine</x:v>
      </x:c>
      <x:c r="D66" s="21" t="str">
        <x:v>official_palestinian_architectural_record</x:v>
      </x:c>
      <x:c r="E66" s="21" t="str">
        <x:v>https://www.travelpalestine.ps/en/Site/29/Dormition-of-the-Theotokos-Church---Al-Aboudieh</x:v>
      </x:c>
      <x:c r="F66" s="21" t="str">
        <x:v>PAGE_EDITORIAL_SOURCE</x:v>
      </x:c>
      <x:c r="G66" s="21" t="n">
        <x:v>1</x:v>
      </x:c>
      <x:c r="H66" s="21" t="n">
        <x:v>1</x:v>
      </x:c>
      <x:c r="I66" s="21" t="str">
        <x:v>CLOSED</x:v>
      </x:c>
      <x:c r="J66" s="21" t="str">
        <x:v>CLOSED_WITHIN_STATED_SOURCE_SCOPE</x:v>
      </x:c>
      <x:c r="K66" s="21" t="str">
        <x:v>PARAPHRASE_WITH_CITATION</x:v>
      </x:c>
      <x:c r="L66" s="21" t="str">
        <x:v>BLOCKED_PENDING_FILE_LEVEL_RIGHTS</x:v>
      </x:c>
      <x:c r="M66" s="21" t="str">
        <x:v>BLOCKED_PENDING_FILE_LEVEL_RIGHTS</x:v>
      </x:c>
      <x:c r="N66" s="21" t="str">
        <x:v>BLOCKED_PENDING_FINAL_RIGHTS_REVIEW</x:v>
      </x:c>
    </x:row>
    <x:row r="67">
      <x:c r="A67" s="21" t="str">
        <x:v>W5-AUTH-MOTA-NABI-MUSA-001</x:v>
      </x:c>
      <x:c r="B67" s="21" t="str">
        <x:v>The Shrine of Nabi Musa</x:v>
      </x:c>
      <x:c r="C67" s="21" t="str">
        <x:v>Palestinian Ministry of Tourism and Antiquities — Travel Palestine</x:v>
      </x:c>
      <x:c r="D67" s="21" t="str">
        <x:v>official_palestinian_islamic_architectural_record</x:v>
      </x:c>
      <x:c r="E67" s="21" t="str">
        <x:v>https://www.travelpalestine.ps/en/Site/236/The-Shrine-of-Nabi-Musa</x:v>
      </x:c>
      <x:c r="F67" s="21" t="str">
        <x:v>PAGE_EDITORIAL_SOURCE</x:v>
      </x:c>
      <x:c r="G67" s="21" t="n">
        <x:v>2</x:v>
      </x:c>
      <x:c r="H67" s="21" t="n">
        <x:v>2</x:v>
      </x:c>
      <x:c r="I67" s="21" t="str">
        <x:v>CLOSED</x:v>
      </x:c>
      <x:c r="J67" s="21" t="str">
        <x:v>CLOSED_WITHIN_STATED_SOURCE_SCOPE</x:v>
      </x:c>
      <x:c r="K67" s="21" t="str">
        <x:v>PARAPHRASE_WITH_CITATION</x:v>
      </x:c>
      <x:c r="L67" s="21" t="str">
        <x:v>BLOCKED_PENDING_FILE_LEVEL_RIGHTS</x:v>
      </x:c>
      <x:c r="M67" s="21" t="str">
        <x:v>BLOCKED_PENDING_FILE_LEVEL_RIGHTS</x:v>
      </x:c>
      <x:c r="N67" s="21" t="str">
        <x:v>BLOCKED_PENDING_FINAL_RIGHTS_REVIEW</x:v>
      </x:c>
    </x:row>
    <x:row r="68">
      <x:c r="A68" s="21" t="str">
        <x:v>W5-AUTH-MOTA-QURUNTAL-001</x:v>
      </x:c>
      <x:c r="B68" s="21" t="str">
        <x:v>Deir Quruntal — The Monastery of the Temptation</x:v>
      </x:c>
      <x:c r="C68" s="21" t="str">
        <x:v>Palestinian Ministry of Tourism and Antiquities — Travel Palestine</x:v>
      </x:c>
      <x:c r="D68" s="21" t="str">
        <x:v>official_palestinian_religious_and_architectural_record</x:v>
      </x:c>
      <x:c r="E68" s="21" t="str">
        <x:v>https://www.travelpalestine.ps/en/Site/239/Deir-Quruntal%2C-The-Monastery-of-the-Temptation</x:v>
      </x:c>
      <x:c r="F68" s="21" t="str">
        <x:v>PAGE_EDITORIAL_SOURCE</x:v>
      </x:c>
      <x:c r="G68" s="21" t="n">
        <x:v>1</x:v>
      </x:c>
      <x:c r="H68" s="21" t="n">
        <x:v>1</x:v>
      </x:c>
      <x:c r="I68" s="21" t="str">
        <x:v>CLOSED</x:v>
      </x:c>
      <x:c r="J68" s="21" t="str">
        <x:v>CLOSED_WITHIN_STATED_SOURCE_SCOPE</x:v>
      </x:c>
      <x:c r="K68" s="21" t="str">
        <x:v>PARAPHRASE_WITH_CITATION</x:v>
      </x:c>
      <x:c r="L68" s="21" t="str">
        <x:v>BLOCKED_PENDING_FILE_LEVEL_RIGHTS</x:v>
      </x:c>
      <x:c r="M68" s="21" t="str">
        <x:v>BLOCKED_PENDING_FILE_LEVEL_RIGHTS</x:v>
      </x:c>
      <x:c r="N68" s="21" t="str">
        <x:v>BLOCKED_PENDING_FINAL_RIGHTS_REVIEW</x:v>
      </x:c>
    </x:row>
    <x:row r="69">
      <x:c r="A69" s="21" t="str">
        <x:v>W5-AUTH-MOTA-RAMALLAH-CONTEXT-001</x:v>
      </x:c>
      <x:c r="B69" s="21" t="str">
        <x:v>Ramallah Tourist Information Center — regional heritage context</x:v>
      </x:c>
      <x:c r="C69" s="21" t="str">
        <x:v>Palestinian Ministry of Tourism and Antiquities — Travel Palestine</x:v>
      </x:c>
      <x:c r="D69" s="21" t="str">
        <x:v>official_palestinian_heritage_portal_context</x:v>
      </x:c>
      <x:c r="E69" s="21" t="str">
        <x:v>https://www.travelpalestine.ps/en/Site/34/Ramallah-Tourist-Information-Center</x:v>
      </x:c>
      <x:c r="F69" s="21" t="str">
        <x:v>REGISTERED_SOURCE_NOT_CURRENTLY_ADOPTED</x:v>
      </x:c>
      <x:c r="G69" s="21" t="n">
        <x:v>0</x:v>
      </x:c>
      <x:c r="H69" s="21" t="n">
        <x:v>0</x:v>
      </x:c>
      <x:c r="I69" s="21" t="str">
        <x:v>CLOSED</x:v>
      </x:c>
      <x:c r="J69" s="21" t="str">
        <x:v>CLOSED_WITHIN_STATED_SOURCE_SCOPE</x:v>
      </x:c>
      <x:c r="K69" s="21" t="str">
        <x:v>PARAPHRASE_WITH_CITATION</x:v>
      </x:c>
      <x:c r="L69" s="21" t="str">
        <x:v>BLOCKED_PENDING_FILE_LEVEL_RIGHTS</x:v>
      </x:c>
      <x:c r="M69" s="21" t="str">
        <x:v>BLOCKED_PENDING_FILE_LEVEL_RIGHTS</x:v>
      </x:c>
      <x:c r="N69" s="21" t="str">
        <x:v>BLOCKED_PENDING_FINAL_RIGHTS_REVIEW</x:v>
      </x:c>
    </x:row>
    <x:row r="70">
      <x:c r="A70" s="21" t="str">
        <x:v>W5-AUTH-RIWAQ-50-CENTRES-001</x:v>
      </x:c>
      <x:c r="B70" s="21" t="str">
        <x:v>50 Historic Centers</x:v>
      </x:c>
      <x:c r="C70" s="21" t="str">
        <x:v>Riwaq Centre for Architectural Conservation</x:v>
      </x:c>
      <x:c r="D70" s="21" t="str">
        <x:v>palestinian_historic_centres_registry_programme</x:v>
      </x:c>
      <x:c r="E70" s="21" t="str">
        <x:v>https://www.riwaq.org/page/14</x:v>
      </x:c>
      <x:c r="F70" s="21" t="str">
        <x:v>PAGE_EDITORIAL_SOURCE</x:v>
      </x:c>
      <x:c r="G70" s="21" t="n">
        <x:v>2</x:v>
      </x:c>
      <x:c r="H70" s="21" t="n">
        <x:v>2</x:v>
      </x:c>
      <x:c r="I70" s="21" t="str">
        <x:v>CLOSED</x:v>
      </x:c>
      <x:c r="J70" s="21" t="str">
        <x:v>CLOSED_WITHIN_STATED_SOURCE_SCOPE</x:v>
      </x:c>
      <x:c r="K70" s="21" t="str">
        <x:v>PARAPHRASE_WITH_CITATION</x:v>
      </x:c>
      <x:c r="L70" s="21" t="str">
        <x:v>BLOCKED_PENDING_FILE_LEVEL_RIGHTS</x:v>
      </x:c>
      <x:c r="M70" s="21" t="str">
        <x:v>BLOCKED_PENDING_FILE_LEVEL_RIGHTS</x:v>
      </x:c>
      <x:c r="N70" s="21" t="str">
        <x:v>BLOCKED_PENDING_FINAL_RIGHTS_REVIEW</x:v>
      </x:c>
    </x:row>
    <x:row r="71">
      <x:c r="A71" s="21" t="str">
        <x:v>W5-AUTH-RIWAQ-BIRZEIT-001</x:v>
      </x:c>
      <x:c r="B71" s="21" t="str">
        <x:v>Birzeit — historic-centre revitalization project</x:v>
      </x:c>
      <x:c r="C71" s="21" t="str">
        <x:v>Riwaq Centre for Architectural Conservation</x:v>
      </x:c>
      <x:c r="D71" s="21" t="str">
        <x:v>palestinian_architectural_conservation_record</x:v>
      </x:c>
      <x:c r="E71" s="21" t="str">
        <x:v>https://riwaq.org/page/1154</x:v>
      </x:c>
      <x:c r="F71" s="21" t="str">
        <x:v>PAGE_EDITORIAL_SOURCE</x:v>
      </x:c>
      <x:c r="G71" s="21" t="n">
        <x:v>1</x:v>
      </x:c>
      <x:c r="H71" s="21" t="n">
        <x:v>1</x:v>
      </x:c>
      <x:c r="I71" s="21" t="str">
        <x:v>CLOSED</x:v>
      </x:c>
      <x:c r="J71" s="21" t="str">
        <x:v>CLOSED_WITHIN_STATED_SOURCE_SCOPE</x:v>
      </x:c>
      <x:c r="K71" s="21" t="str">
        <x:v>PARAPHRASE_WITH_CITATION</x:v>
      </x:c>
      <x:c r="L71" s="21" t="str">
        <x:v>BLOCKED_PENDING_FILE_LEVEL_RIGHTS</x:v>
      </x:c>
      <x:c r="M71" s="21" t="str">
        <x:v>BLOCKED_PENDING_FILE_LEVEL_RIGHTS</x:v>
      </x:c>
      <x:c r="N71" s="21" t="str">
        <x:v>BLOCKED_PENDING_FINAL_RIGHTS_REVIEW</x:v>
      </x:c>
    </x:row>
    <x:row r="72">
      <x:c r="A72" s="21" t="str">
        <x:v>W5-AUTH-RIWAQ-BIRZEIT-AWARD-001</x:v>
      </x:c>
      <x:c r="B72" s="21" t="str">
        <x:v>Birzeit — regeneration of the historic centre</x:v>
      </x:c>
      <x:c r="C72" s="21" t="str">
        <x:v>Riwaq Centre for Architectural Conservation</x:v>
      </x:c>
      <x:c r="D72" s="21" t="str">
        <x:v>palestinian_conservation_and_award_record</x:v>
      </x:c>
      <x:c r="E72" s="21" t="str">
        <x:v>https://riwaq.org/page/121</x:v>
      </x:c>
      <x:c r="F72" s="21" t="str">
        <x:v>PAGE_EDITORIAL_SOURCE</x:v>
      </x:c>
      <x:c r="G72" s="21" t="n">
        <x:v>1</x:v>
      </x:c>
      <x:c r="H72" s="21" t="n">
        <x:v>1</x:v>
      </x:c>
      <x:c r="I72" s="21" t="str">
        <x:v>CLOSED</x:v>
      </x:c>
      <x:c r="J72" s="21" t="str">
        <x:v>CLOSED_WITHIN_STATED_SOURCE_SCOPE</x:v>
      </x:c>
      <x:c r="K72" s="21" t="str">
        <x:v>PARAPHRASE_WITH_CITATION</x:v>
      </x:c>
      <x:c r="L72" s="21" t="str">
        <x:v>BLOCKED_PENDING_FILE_LEVEL_RIGHTS</x:v>
      </x:c>
      <x:c r="M72" s="21" t="str">
        <x:v>BLOCKED_PENDING_FILE_LEVEL_RIGHTS</x:v>
      </x:c>
      <x:c r="N72" s="21" t="str">
        <x:v>BLOCKED_PENDING_FINAL_RIGHTS_REVIEW</x:v>
      </x:c>
    </x:row>
    <x:row r="73">
      <x:c r="A73" s="21" t="str">
        <x:v>W5-AUTH-RIWAQ-DEIR-AMMAR-001</x:v>
      </x:c>
      <x:c r="B73" s="21" t="str">
        <x:v>Deir Ammar</x:v>
      </x:c>
      <x:c r="C73" s="21" t="str">
        <x:v>Riwaq Centre for Architectural Conservation</x:v>
      </x:c>
      <x:c r="D73" s="21" t="str">
        <x:v>palestinian_historic_centre_registry_record</x:v>
      </x:c>
      <x:c r="E73" s="21" t="str">
        <x:v>https://www.riwaq.org/page/1184</x:v>
      </x:c>
      <x:c r="F73" s="21" t="str">
        <x:v>PAGE_EDITORIAL_SOURCE</x:v>
      </x:c>
      <x:c r="G73" s="21" t="n">
        <x:v>1</x:v>
      </x:c>
      <x:c r="H73" s="21" t="n">
        <x:v>1</x:v>
      </x:c>
      <x:c r="I73" s="21" t="str">
        <x:v>CLOSED</x:v>
      </x:c>
      <x:c r="J73" s="21" t="str">
        <x:v>CLOSED_LIMITED_TO_INSPECTED_RECORD</x:v>
      </x:c>
      <x:c r="K73" s="21" t="str">
        <x:v>PARAPHRASE_WITH_CITATION</x:v>
      </x:c>
      <x:c r="L73" s="21" t="str">
        <x:v>BLOCKED_PENDING_FILE_LEVEL_RIGHTS</x:v>
      </x:c>
      <x:c r="M73" s="21" t="str">
        <x:v>BLOCKED_PENDING_FILE_LEVEL_RIGHTS</x:v>
      </x:c>
      <x:c r="N73" s="21" t="str">
        <x:v>BLOCKED_PENDING_FINAL_RIGHTS_REVIEW</x:v>
      </x:c>
    </x:row>
    <x:row r="74">
      <x:c r="A74" s="21" t="str">
        <x:v>W5-AUTH-RIWAQ-NABI-SALEH-001</x:v>
      </x:c>
      <x:c r="B74" s="21" t="str">
        <x:v>An Nabi Salih Cultural Center</x:v>
      </x:c>
      <x:c r="C74" s="21" t="str">
        <x:v>Riwaq Centre for Architectural Conservation</x:v>
      </x:c>
      <x:c r="D74" s="21" t="str">
        <x:v>palestinian_conservation_project_record</x:v>
      </x:c>
      <x:c r="E74" s="21" t="str">
        <x:v>https://riwaq.org/page/135</x:v>
      </x:c>
      <x:c r="F74" s="21" t="str">
        <x:v>PAGE_EDITORIAL_SOURCE</x:v>
      </x:c>
      <x:c r="G74" s="21" t="n">
        <x:v>1</x:v>
      </x:c>
      <x:c r="H74" s="21" t="n">
        <x:v>1</x:v>
      </x:c>
      <x:c r="I74" s="21" t="str">
        <x:v>CLOSED</x:v>
      </x:c>
      <x:c r="J74" s="21" t="str">
        <x:v>CLOSED_WITHIN_STATED_SOURCE_SCOPE</x:v>
      </x:c>
      <x:c r="K74" s="21" t="str">
        <x:v>PARAPHRASE_WITH_CITATION</x:v>
      </x:c>
      <x:c r="L74" s="21" t="str">
        <x:v>BLOCKED_PENDING_FILE_LEVEL_RIGHTS</x:v>
      </x:c>
      <x:c r="M74" s="21" t="str">
        <x:v>BLOCKED_PENDING_FILE_LEVEL_RIGHTS</x:v>
      </x:c>
      <x:c r="N74" s="21" t="str">
        <x:v>BLOCKED_PENDING_FINAL_RIGHTS_REVIEW</x:v>
      </x:c>
    </x:row>
    <x:row r="75">
      <x:c r="A75" s="21" t="str">
        <x:v>W5-AUTH-UNESCO-EL-BARIYAH-001</x:v>
      </x:c>
      <x:c r="B75" s="21" t="str">
        <x:v>El-Bariyah: wilderness with monasteries</x:v>
      </x:c>
      <x:c r="C75" s="21" t="str">
        <x:v>State of Palestine submission published by UNESCO</x:v>
      </x:c>
      <x:c r="D75" s="21" t="str">
        <x:v>official_state_party_tentative_list_submission</x:v>
      </x:c>
      <x:c r="E75" s="21" t="str">
        <x:v>https://whc.unesco.org/en/tentativelists/5708/</x:v>
      </x:c>
      <x:c r="F75" s="21" t="str">
        <x:v>PAGE_EDITORIAL_SOURCE</x:v>
      </x:c>
      <x:c r="G75" s="21" t="n">
        <x:v>1</x:v>
      </x:c>
      <x:c r="H75" s="21" t="n">
        <x:v>1</x:v>
      </x:c>
      <x:c r="I75" s="21" t="str">
        <x:v>CLOSED</x:v>
      </x:c>
      <x:c r="J75" s="21" t="str">
        <x:v>CLOSED_WITHIN_STATED_SOURCE_SCOPE</x:v>
      </x:c>
      <x:c r="K75" s="21" t="str">
        <x:v>PARAPHRASE_WITH_CITATION</x:v>
      </x:c>
      <x:c r="L75" s="21" t="str">
        <x:v>BLOCKED_PENDING_FILE_LEVEL_RIGHTS</x:v>
      </x:c>
      <x:c r="M75" s="21" t="str">
        <x:v>BLOCKED_PENDING_FILE_LEVEL_RIGHTS</x:v>
      </x:c>
      <x:c r="N75" s="21" t="str">
        <x:v>BLOCKED_PENDING_FINAL_RIGHTS_REVIEW</x:v>
      </x:c>
    </x:row>
    <x:row r="76">
      <x:c r="A76" s="21" t="str">
        <x:v>W5-AUTH-UNESCO-JERICHO-001</x:v>
      </x:c>
      <x:c r="B76" s="21" t="str">
        <x:v>Ancient Jericho/Tell es-Sultan</x:v>
      </x:c>
      <x:c r="C76" s="21" t="str">
        <x:v>UNESCO World Heritage Centre</x:v>
      </x:c>
      <x:c r="D76" s="21" t="str">
        <x:v>official_world_heritage_record</x:v>
      </x:c>
      <x:c r="E76" s="21" t="str">
        <x:v>https://whc.unesco.org/en/list/1687/</x:v>
      </x:c>
      <x:c r="F76" s="21" t="str">
        <x:v>PAGE_EDITORIAL_SOURCE</x:v>
      </x:c>
      <x:c r="G76" s="21" t="n">
        <x:v>1</x:v>
      </x:c>
      <x:c r="H76" s="21" t="n">
        <x:v>1</x:v>
      </x:c>
      <x:c r="I76" s="21" t="str">
        <x:v>CLOSED</x:v>
      </x:c>
      <x:c r="J76" s="21" t="str">
        <x:v>CLOSED_WITHIN_STATED_SOURCE_SCOPE</x:v>
      </x:c>
      <x:c r="K76" s="21" t="str">
        <x:v>CONDITIONALLY_AVAILABLE</x:v>
      </x:c>
      <x:c r="L76" s="21" t="str">
        <x:v>BLOCKED_PENDING_FILE_LEVEL_RIGHTS</x:v>
      </x:c>
      <x:c r="M76" s="21" t="str">
        <x:v>BLOCKED_PENDING_FILE_LEVEL_RIGHTS</x:v>
      </x:c>
      <x:c r="N76" s="21" t="str">
        <x:v>BLOCKED_PENDING_FINAL_RIGHTS_REVIEW</x:v>
      </x:c>
    </x:row>
    <x:row r="77">
      <x:c r="A77" s="21" t="str">
        <x:v>W5-AUTH-WAFA-TOURIST-TRAILS-001</x:v>
      </x:c>
      <x:c r="B77" s="21" t="str">
        <x:v>دليل المسارات السياحية في فلسطين</x:v>
      </x:c>
      <x:c r="C77" s="21" t="str">
        <x:v>وكالة الأنباء والمعلومات الفلسطينية — وفا / Palestinian tourism information</x:v>
      </x:c>
      <x:c r="D77" s="21" t="str">
        <x:v>official_palestinian_route_and_landscape_guide</x:v>
      </x:c>
      <x:c r="E77" s="21" t="str">
        <x:v>https://info.wafa.ps/userfiles/server/%D8%AF%D9%84%D9%8A%D9%84%20%D8%A7%D9%84%D9%85%D8%B3%D8%A7%D8%B1%D8%A7%D8%AA%20%D8%A7%D9%84%D8%B3%D9%8A%D8%A7%D8%AD%D9%8A%D8%A9%20%D9%81%D9%8A%20%D9%81%D9%84%D8%B3%D8%B7%D9%8A%D9%86.pdf</x:v>
      </x:c>
      <x:c r="F77" s="21" t="str">
        <x:v>PAGE_EDITORIAL_SOURCE</x:v>
      </x:c>
      <x:c r="G77" s="21" t="n">
        <x:v>1</x:v>
      </x:c>
      <x:c r="H77" s="21" t="n">
        <x:v>1</x:v>
      </x:c>
      <x:c r="I77" s="21" t="str">
        <x:v>CLOSED</x:v>
      </x:c>
      <x:c r="J77" s="21" t="str">
        <x:v>CLOSED_WITHIN_STATED_SOURCE_SCOPE</x:v>
      </x:c>
      <x:c r="K77" s="21" t="str">
        <x:v>PARAPHRASE_WITH_CITATION</x:v>
      </x:c>
      <x:c r="L77" s="21" t="str">
        <x:v>BLOCKED_PENDING_FILE_LEVEL_RIGHTS</x:v>
      </x:c>
      <x:c r="M77" s="21" t="str">
        <x:v>BLOCKED_PENDING_FILE_LEVEL_RIGHTS</x:v>
      </x:c>
      <x:c r="N77" s="21" t="str">
        <x:v>BLOCKED_PENDING_FINAL_RIGHTS_REVIEW</x:v>
      </x:c>
    </x:row>
    <x:row r="78">
      <x:c r="A78" s="21" t="str">
        <x:v>W4-AUTH-TELL-EL-FARA-PROJECT-2026</x:v>
      </x:c>
      <x:c r="B78" s="21" t="str">
        <x:v>Tell el-Far'a — archaeological research project</x:v>
      </x:c>
      <x:c r="C78" s="21" t="str">
        <x:v>International Tell el-Far'a research project with Palestinian Ministry of Tourism and Antiquities participation</x:v>
      </x:c>
      <x:c r="D78" s="21" t="str">
        <x:v>institutional_archaeological_project_record</x:v>
      </x:c>
      <x:c r="E78" s="21" t="str">
        <x:v>https://www.tellelfara.com/</x:v>
      </x:c>
      <x:c r="F78" s="21" t="str">
        <x:v>PAGE_EDITORIAL_SOURCE</x:v>
      </x:c>
      <x:c r="G78" s="21" t="n">
        <x:v>1</x:v>
      </x:c>
      <x:c r="H78" s="21" t="n">
        <x:v>1</x:v>
      </x:c>
      <x:c r="I78" s="21" t="str">
        <x:v>CLOSED_FOR_REPLACEMENT_SOURCE</x:v>
      </x:c>
      <x:c r="J78" s="21" t="str">
        <x:v>CLOSED_FOR_REVISED_TELL_AL_FARAH_CLAIM</x:v>
      </x:c>
      <x:c r="K78" s="21" t="str">
        <x:v>PARAPHRASE_WITH_CITATION</x:v>
      </x:c>
      <x:c r="L78" s="21" t="str">
        <x:v>BLOCKED_COPYRIGHTED_PROJECT_PHOTOGRAPHS</x:v>
      </x:c>
      <x:c r="M78" s="21" t="str">
        <x:v>BLOCKED_PENDING_FILE_LEVEL_RIGHTS</x:v>
      </x:c>
      <x:c r="N78" s="21" t="str">
        <x:v>BLOCKED_PENDING_FINAL_RIGHTS_REVIEW</x:v>
      </x:c>
    </x:row>
    <x:row r="79">
      <x:c r="A79" s="21" t="str">
        <x:v>P0-SRC-UNESCO-GAZA-ASSESSMENT-2026</x:v>
      </x:c>
      <x:c r="B79" s="21" t="str">
        <x:v>Impact on cultural heritage — Gaza</x:v>
      </x:c>
      <x:c r="C79" s="21" t="str">
        <x:v>UNESCO</x:v>
      </x:c>
      <x:c r="D79" s="21" t="str">
        <x:v>official_damage_monitoring_record</x:v>
      </x:c>
      <x:c r="E79" s="21" t="str">
        <x:v>https://www.unesco.org/en/gaza/assessment</x:v>
      </x:c>
      <x:c r="F79" s="21" t="str">
        <x:v>RESEARCH_BACKLOG_SOURCE</x:v>
      </x:c>
      <x:c r="G79" s="21" t="n">
        <x:v>10</x:v>
      </x:c>
      <x:c r="H79" s="21" t="n">
        <x:v>0</x:v>
      </x:c>
      <x:c r="I79" s="21" t="str">
        <x:v>RESEARCH_SOURCE_INSPECTED</x:v>
      </x:c>
      <x:c r="J79" s="21" t="str">
        <x:v>Remote and rapid on-site damage verification for named cultural properties; no public site-by-site engineering severity grade.</x:v>
      </x:c>
      <x:c r="K79" s="21" t="str">
        <x:v>NOT_ADOPTED_TO_PAGE</x:v>
      </x:c>
      <x:c r="L79" s="21" t="str">
        <x:v>BLOCKED</x:v>
      </x:c>
      <x:c r="M79" s="21" t="str">
        <x:v>BLOCKED</x:v>
      </x:c>
      <x:c r="N79" s="21" t="str">
        <x:v>BLOCKED</x:v>
      </x:c>
    </x:row>
    <x:row r="80">
      <x:c r="A80" s="21" t="str">
        <x:v>P0-SRC-UNESCO-JERUSALEM-SOC-2026</x:v>
      </x:c>
      <x:c r="B80" s="21" t="str">
        <x:v>State of Conservation of the Old City of Jerusalem and its Walls, reporting period 2025</x:v>
      </x:c>
      <x:c r="C80" s="21" t="str">
        <x:v>Hashemite Kingdom of Jordan and State of Palestine, submitted to UNESCO</x:v>
      </x:c>
      <x:c r="D80" s="21" t="str">
        <x:v>official_state_party_state_of_conservation_report</x:v>
      </x:c>
      <x:c r="E80" s="21" t="str">
        <x:v>https://whc.unesco.org/document/226629</x:v>
      </x:c>
      <x:c r="F80" s="21" t="str">
        <x:v>RESEARCH_BACKLOG_SOURCE</x:v>
      </x:c>
      <x:c r="G80" s="21" t="n">
        <x:v>5</x:v>
      </x:c>
      <x:c r="H80" s="21" t="n">
        <x:v>0</x:v>
      </x:c>
      <x:c r="I80" s="21" t="str">
        <x:v>RESEARCH_SOURCE_INSPECTED</x:v>
      </x:c>
      <x:c r="J80" s="21" t="str">
        <x:v>Attributed state-party reporting on access, Waqf administration, excavations and physical-landscape concerns; not an independent adjudication of all legal or engineering claims.</x:v>
      </x:c>
      <x:c r="K80" s="21" t="str">
        <x:v>NOT_ADOPTED_TO_PAGE</x:v>
      </x:c>
      <x:c r="L80" s="21" t="str">
        <x:v>BLOCKED</x:v>
      </x:c>
      <x:c r="M80" s="21" t="str">
        <x:v>BLOCKED</x:v>
      </x:c>
      <x:c r="N80" s="21" t="str">
        <x:v>BLOCKED</x:v>
      </x:c>
    </x:row>
    <x:row r="81">
      <x:c r="A81" s="21" t="str">
        <x:v>P0-SRC-UNESCO-HEBRON-SOC-2026</x:v>
      </x:c>
      <x:c r="B81" s="21" t="str">
        <x:v>State of Conservation Report — Hebron/Al-Khalil Old Town, reporting period 2025</x:v>
      </x:c>
      <x:c r="C81" s="21" t="str">
        <x:v>State of Palestine, Hebron Rehabilitation Committee and Ministry of Tourism and Antiquities</x:v>
      </x:c>
      <x:c r="D81" s="21" t="str">
        <x:v>official_state_party_state_of_conservation_report</x:v>
      </x:c>
      <x:c r="E81" s="21" t="str">
        <x:v>https://whc.unesco.org/document/224528</x:v>
      </x:c>
      <x:c r="F81" s="21" t="str">
        <x:v>RESEARCH_BACKLOG_SOURCE</x:v>
      </x:c>
      <x:c r="G81" s="21" t="n">
        <x:v>1</x:v>
      </x:c>
      <x:c r="H81" s="21" t="n">
        <x:v>0</x:v>
      </x:c>
      <x:c r="I81" s="21" t="str">
        <x:v>RESEARCH_SOURCE_INSPECTED</x:v>
      </x:c>
      <x:c r="J81" s="21" t="str">
        <x:v>Current conservation activity and attributed threats within the World Heritage property and buffer zone.</x:v>
      </x:c>
      <x:c r="K81" s="21" t="str">
        <x:v>NOT_ADOPTED_TO_PAGE</x:v>
      </x:c>
      <x:c r="L81" s="21" t="str">
        <x:v>BLOCKED</x:v>
      </x:c>
      <x:c r="M81" s="21" t="str">
        <x:v>BLOCKED</x:v>
      </x:c>
      <x:c r="N81" s="21" t="str">
        <x:v>BLOCKED</x:v>
      </x:c>
    </x:row>
    <x:row r="82">
      <x:c r="A82" s="21" t="str">
        <x:v>P0-SRC-RIWAQ-BIRZEIT</x:v>
      </x:c>
      <x:c r="B82" s="21" t="str">
        <x:v>Birzeit historic-centre revitalization</x:v>
      </x:c>
      <x:c r="C82" s="21" t="str">
        <x:v>Riwaq Centre for Architectural Conservation</x:v>
      </x:c>
      <x:c r="D82" s="21" t="str">
        <x:v>palestinian_conservation_record</x:v>
      </x:c>
      <x:c r="E82" s="21" t="str">
        <x:v>https://riwaq.org/page/1154</x:v>
      </x:c>
      <x:c r="F82" s="21" t="str">
        <x:v>RESEARCH_BACKLOG_SOURCE</x:v>
      </x:c>
      <x:c r="G82" s="21" t="n">
        <x:v>1</x:v>
      </x:c>
      <x:c r="H82" s="21" t="n">
        <x:v>0</x:v>
      </x:c>
      <x:c r="I82" s="21" t="str">
        <x:v>RESEARCH_SOURCE_INSPECTED</x:v>
      </x:c>
      <x:c r="J82" s="21" t="str">
        <x:v>Historic-centre boundary, inventory and conservation context; does not independently establish the identity or date of a castle.</x:v>
      </x:c>
      <x:c r="K82" s="21" t="str">
        <x:v>NOT_ADOPTED_TO_PAGE</x:v>
      </x:c>
      <x:c r="L82" s="21" t="str">
        <x:v>BLOCKED</x:v>
      </x:c>
      <x:c r="M82" s="21" t="str">
        <x:v>BLOCKED</x:v>
      </x:c>
      <x:c r="N82" s="21" t="str">
        <x:v>BLOCKED</x:v>
      </x:c>
    </x:row>
    <x:row r="83">
      <x:c r="A83" s="21" t="str">
        <x:v>P0-SRC-TAAWON-NABLUS</x:v>
      </x:c>
      <x:c r="B83" s="21" t="str">
        <x:v>Nablus restoration programme</x:v>
      </x:c>
      <x:c r="C83" s="21" t="str">
        <x:v>Old City of Jerusalem Revitalization Programme / Taawon</x:v>
      </x:c>
      <x:c r="D83" s="21" t="str">
        <x:v>palestinian_conservation_programme_record</x:v>
      </x:c>
      <x:c r="E83" s="21" t="str">
        <x:v>https://ocjrp.taawon.org/cities/nabus</x:v>
      </x:c>
      <x:c r="F83" s="21" t="str">
        <x:v>RESEARCH_BACKLOG_SOURCE</x:v>
      </x:c>
      <x:c r="G83" s="21" t="n">
        <x:v>2</x:v>
      </x:c>
      <x:c r="H83" s="21" t="n">
        <x:v>0</x:v>
      </x:c>
      <x:c r="I83" s="21" t="str">
        <x:v>RESEARCH_SOURCE_INSPECTED</x:v>
      </x:c>
      <x:c r="J83" s="21" t="str">
        <x:v>Restoration of selected façades across Old Nablus quarters, including Al-Yasmina; not a complete condition survey.</x:v>
      </x:c>
      <x:c r="K83" s="21" t="str">
        <x:v>NOT_ADOPTED_TO_PAGE</x:v>
      </x:c>
      <x:c r="L83" s="21" t="str">
        <x:v>BLOCKED</x:v>
      </x:c>
      <x:c r="M83" s="21" t="str">
        <x:v>BLOCKED</x:v>
      </x:c>
      <x:c r="N83" s="21" t="str">
        <x:v>BLOCKED</x:v>
      </x:c>
    </x:row>
    <x:row r="84">
      <x:c r="A84" s="21" t="str">
        <x:v>P0-SRC-HERODIUM-PARK</x:v>
      </x:c>
      <x:c r="B84" s="21" t="str">
        <x:v>Herodium Park</x:v>
      </x:c>
      <x:c r="C84" s="21" t="str">
        <x:v>Israel Nature and Parks Authority</x:v>
      </x:c>
      <x:c r="D84" s="21" t="str">
        <x:v>current_site_access_record</x:v>
      </x:c>
      <x:c r="E84" s="21" t="str">
        <x:v>https://en.parks.org.il/reserve-park/herodium-park/</x:v>
      </x:c>
      <x:c r="F84" s="21" t="str">
        <x:v>RESEARCH_BACKLOG_SOURCE</x:v>
      </x:c>
      <x:c r="G84" s="21" t="n">
        <x:v>1</x:v>
      </x:c>
      <x:c r="H84" s="21" t="n">
        <x:v>0</x:v>
      </x:c>
      <x:c r="I84" s="21" t="str">
        <x:v>RESEARCH_SOURCE_INSPECTED</x:v>
      </x:c>
      <x:c r="J84" s="21" t="str">
        <x:v>Published visitor access and opening hours; does not close the full archaeological chronology or Palestinian rights questions.</x:v>
      </x:c>
      <x:c r="K84" s="21" t="str">
        <x:v>NOT_ADOPTED_TO_PAGE</x:v>
      </x:c>
      <x:c r="L84" s="21" t="str">
        <x:v>BLOCKED</x:v>
      </x:c>
      <x:c r="M84" s="21" t="str">
        <x:v>BLOCKED</x:v>
      </x:c>
      <x:c r="N84" s="21" t="str">
        <x:v>BLOCKED</x:v>
      </x:c>
    </x:row>
    <x:row r="85">
      <x:c r="A85" s="21" t="str">
        <x:v>P0-SRC-PCBS-HEBRON-LOCALITIES</x:v>
      </x:c>
      <x:c r="B85" s="21" t="str">
        <x:v>Palestinian locality classification</x:v>
      </x:c>
      <x:c r="C85" s="21" t="str">
        <x:v>Palestinian Central Bureau of Statistics</x:v>
      </x:c>
      <x:c r="D85" s="21" t="str">
        <x:v>official_locality_registry</x:v>
      </x:c>
      <x:c r="E85" s="21" t="str">
        <x:v>https://www.pcbs.gov.ps/Portals/_PCBS/Class/English/Geography/localities-1997-class.pdf</x:v>
      </x:c>
      <x:c r="F85" s="21" t="str">
        <x:v>RESEARCH_BACKLOG_SOURCE</x:v>
      </x:c>
      <x:c r="G85" s="21" t="n">
        <x:v>1</x:v>
      </x:c>
      <x:c r="H85" s="21" t="n">
        <x:v>0</x:v>
      </x:c>
      <x:c r="I85" s="21" t="str">
        <x:v>RESEARCH_SOURCE_INSPECTED</x:v>
      </x:c>
      <x:c r="J85" s="21" t="str">
        <x:v>Lists Deir Samit and Al Karmil as distinct Hebron Governorate localities, disproving their treatment as one canonical place.</x:v>
      </x:c>
      <x:c r="K85" s="21" t="str">
        <x:v>NOT_ADOPTED_TO_PAGE</x:v>
      </x:c>
      <x:c r="L85" s="21" t="str">
        <x:v>BLOCKED</x:v>
      </x:c>
      <x:c r="M85" s="21" t="str">
        <x:v>BLOCKED</x:v>
      </x:c>
      <x:c r="N85" s="21" t="str">
        <x:v>BLOCKED</x:v>
      </x:c>
    </x:row>
    <x:row r="86">
      <x:c r="A86" s="21" t="str">
        <x:v>P0-SRC-PCBS-SINJIL</x:v>
      </x:c>
      <x:c r="B86" s="21" t="str">
        <x:v>Ramallah and Al-Bireh localities — Sinjil</x:v>
      </x:c>
      <x:c r="C86" s="21" t="str">
        <x:v>Palestinian Central Bureau of Statistics</x:v>
      </x:c>
      <x:c r="D86" s="21" t="str">
        <x:v>official_locality_registry</x:v>
      </x:c>
      <x:c r="E86" s="21" t="str">
        <x:v>https://www.pcbs.gov.ps/Portals/_Rainbow/Documents/RamallhE.html</x:v>
      </x:c>
      <x:c r="F86" s="21" t="str">
        <x:v>RESEARCH_BACKLOG_SOURCE</x:v>
      </x:c>
      <x:c r="G86" s="21" t="n">
        <x:v>1</x:v>
      </x:c>
      <x:c r="H86" s="21" t="n">
        <x:v>0</x:v>
      </x:c>
      <x:c r="I86" s="21" t="str">
        <x:v>RESEARCH_SOURCE_INSPECTED</x:v>
      </x:c>
      <x:c r="J86" s="21" t="str">
        <x:v>Confirms Sinjil belongs to Ramallah and Al-Bireh Governorate, not Nablus Governorate.</x:v>
      </x:c>
      <x:c r="K86" s="21" t="str">
        <x:v>NOT_ADOPTED_TO_PAGE</x:v>
      </x:c>
      <x:c r="L86" s="21" t="str">
        <x:v>BLOCKED</x:v>
      </x:c>
      <x:c r="M86" s="21" t="str">
        <x:v>BLOCKED</x:v>
      </x:c>
      <x:c r="N86" s="21" t="str">
        <x:v>BLOCKED</x:v>
      </x:c>
    </x:row>
    <x:row r="87">
      <x:c r="A87" s="21" t="str">
        <x:v>P0-SRC-TELL-EL-FARAH-PROJECT</x:v>
      </x:c>
      <x:c r="B87" s="21" t="str">
        <x:v>Tell el-Far'a archaeological research project</x:v>
      </x:c>
      <x:c r="C87" s="21" t="str">
        <x:v>International project with Palestinian Ministry participation</x:v>
      </x:c>
      <x:c r="D87" s="21" t="str">
        <x:v>institutional_archaeological_project_record</x:v>
      </x:c>
      <x:c r="E87" s="21" t="str">
        <x:v>https://www.tellelfara.com/</x:v>
      </x:c>
      <x:c r="F87" s="21" t="str">
        <x:v>RESEARCH_BACKLOG_SOURCE</x:v>
      </x:c>
      <x:c r="G87" s="21" t="n">
        <x:v>1</x:v>
      </x:c>
      <x:c r="H87" s="21" t="n">
        <x:v>0</x:v>
      </x:c>
      <x:c r="I87" s="21" t="str">
        <x:v>RESEARCH_SOURCE_INSPECTED</x:v>
      </x:c>
      <x:c r="J87" s="21" t="str">
        <x:v>Research identity and excavation history; no complete current condition or legally approved boundary dataset.</x:v>
      </x:c>
      <x:c r="K87" s="21" t="str">
        <x:v>NOT_ADOPTED_TO_PAGE</x:v>
      </x:c>
      <x:c r="L87" s="21" t="str">
        <x:v>BLOCKED</x:v>
      </x:c>
      <x:c r="M87" s="21" t="str">
        <x:v>BLOCKED</x:v>
      </x:c>
      <x:c r="N87" s="21" t="str">
        <x:v>BLOCKED</x:v>
      </x:c>
    </x:row>
    <x:row r="88">
      <x:c r="A88" s="21" t="str">
        <x:v>P0-SRC-MOTA-YASMINA</x:v>
      </x:c>
      <x:c r="B88" s="21" t="str">
        <x:v>Hosh Al-Atout — Al-Yasmina Quarter</x:v>
      </x:c>
      <x:c r="C88" s="21" t="str">
        <x:v>Palestinian Ministry of Tourism and Antiquities</x:v>
      </x:c>
      <x:c r="D88" s="21" t="str">
        <x:v>official_palestinian_heritage_record</x:v>
      </x:c>
      <x:c r="E88" s="21" t="str">
        <x:v>https://www.travelpalestine.ps/en/Site/110/Hosh-Al-Atout-%28Quarter%29</x:v>
      </x:c>
      <x:c r="F88" s="21" t="str">
        <x:v>RESEARCH_BACKLOG_SOURCE</x:v>
      </x:c>
      <x:c r="G88" s="21" t="n">
        <x:v>1</x:v>
      </x:c>
      <x:c r="H88" s="21" t="n">
        <x:v>0</x:v>
      </x:c>
      <x:c r="I88" s="21" t="str">
        <x:v>RESEARCH_SOURCE_INSPECTED</x:v>
      </x:c>
      <x:c r="J88" s="21" t="str">
        <x:v>Identity and restoration of one courtyard; cannot represent all buildings or the complete quarter boundary.</x:v>
      </x:c>
      <x:c r="K88" s="21" t="str">
        <x:v>NOT_ADOPTED_TO_PAGE</x:v>
      </x:c>
      <x:c r="L88" s="21" t="str">
        <x:v>BLOCKED</x:v>
      </x:c>
      <x:c r="M88" s="21" t="str">
        <x:v>BLOCKED</x:v>
      </x:c>
      <x:c r="N88" s="21" t="str">
        <x:v>BLOCKED</x:v>
      </x:c>
    </x:row>
    <x:row r="89">
      <x:c r="A89" s="21" t="str">
        <x:v>P0-SRC-MOTA-NABI-MUSA</x:v>
      </x:c>
      <x:c r="B89" s="21" t="str">
        <x:v>The Shrine of Nabi Musa</x:v>
      </x:c>
      <x:c r="C89" s="21" t="str">
        <x:v>Palestinian Ministry of Tourism and Antiquities</x:v>
      </x:c>
      <x:c r="D89" s="21" t="str">
        <x:v>official_palestinian_architectural_record</x:v>
      </x:c>
      <x:c r="E89" s="21" t="str">
        <x:v>https://www.travelpalestine.ps/en/Site/236/The-Shrine-of-Nabi-Musa</x:v>
      </x:c>
      <x:c r="F89" s="21" t="str">
        <x:v>RESEARCH_BACKLOG_SOURCE</x:v>
      </x:c>
      <x:c r="G89" s="21" t="n">
        <x:v>1</x:v>
      </x:c>
      <x:c r="H89" s="21" t="n">
        <x:v>0</x:v>
      </x:c>
      <x:c r="I89" s="21" t="str">
        <x:v>RESEARCH_SOURCE_INSPECTED</x:v>
      </x:c>
      <x:c r="J89" s="21" t="str">
        <x:v>Mamluk complex identity and major components; detailed dates, ownership and rights require inscriptions, Waqf and legal records.</x:v>
      </x:c>
      <x:c r="K89" s="21" t="str">
        <x:v>NOT_ADOPTED_TO_PAGE</x:v>
      </x:c>
      <x:c r="L89" s="21" t="str">
        <x:v>BLOCKED</x:v>
      </x:c>
      <x:c r="M89" s="21" t="str">
        <x:v>BLOCKED</x:v>
      </x:c>
      <x:c r="N89" s="21" t="str">
        <x:v>BLOCKED</x:v>
      </x:c>
    </x:row>
    <x:row r="90">
      <x:c r="A90" s="21" t="str">
        <x:v>P0-SRC-MOTA-ABOUD-BARBARA</x:v>
      </x:c>
      <x:c r="B90" s="21" t="str">
        <x:v>St. Barbara Church in Aboud</x:v>
      </x:c>
      <x:c r="C90" s="21" t="str">
        <x:v>Palestinian Ministry of Tourism and Antiquities</x:v>
      </x:c>
      <x:c r="D90" s="21" t="str">
        <x:v>official_palestinian_archaeological_record</x:v>
      </x:c>
      <x:c r="E90" s="21" t="str">
        <x:v>https://www.travelpalestine.ps/en/Site/416/St-Barbara-Church-in-Aboud</x:v>
      </x:c>
      <x:c r="F90" s="21" t="str">
        <x:v>RESEARCH_BACKLOG_SOURCE</x:v>
      </x:c>
      <x:c r="G90" s="21" t="n">
        <x:v>1</x:v>
      </x:c>
      <x:c r="H90" s="21" t="n">
        <x:v>0</x:v>
      </x:c>
      <x:c r="I90" s="21" t="str">
        <x:v>RESEARCH_SOURCE_INSPECTED</x:v>
      </x:c>
      <x:c r="J90" s="21" t="str">
        <x:v>One component within the wider Aboud historic landscape.</x:v>
      </x:c>
      <x:c r="K90" s="21" t="str">
        <x:v>NOT_ADOPTED_TO_PAGE</x:v>
      </x:c>
      <x:c r="L90" s="21" t="str">
        <x:v>BLOCKED</x:v>
      </x:c>
      <x:c r="M90" s="21" t="str">
        <x:v>BLOCKED</x:v>
      </x:c>
      <x:c r="N90" s="21" t="str">
        <x:v>BLOCKED</x:v>
      </x:c>
    </x:row>
    <x:row r="91">
      <x:c r="A91" s="21" t="str">
        <x:v>P0-SRC-MOTA-ABOUD-DORMITION</x:v>
      </x:c>
      <x:c r="B91" s="21" t="str">
        <x:v>Dormition of the Theotokos Church — Al-Aboudieh</x:v>
      </x:c>
      <x:c r="C91" s="21" t="str">
        <x:v>Palestinian Ministry of Tourism and Antiquities</x:v>
      </x:c>
      <x:c r="D91" s="21" t="str">
        <x:v>official_palestinian_architectural_record</x:v>
      </x:c>
      <x:c r="E91" s="21" t="str">
        <x:v>https://www.travelpalestine.ps/en/Site/29/Dormition-of-the-Theotokos-Church---Al-Aboudieh</x:v>
      </x:c>
      <x:c r="F91" s="21" t="str">
        <x:v>RESEARCH_BACKLOG_SOURCE</x:v>
      </x:c>
      <x:c r="G91" s="21" t="n">
        <x:v>1</x:v>
      </x:c>
      <x:c r="H91" s="21" t="n">
        <x:v>0</x:v>
      </x:c>
      <x:c r="I91" s="21" t="str">
        <x:v>RESEARCH_SOURCE_INSPECTED</x:v>
      </x:c>
      <x:c r="J91" s="21" t="str">
        <x:v>One multi-phase church component within Aboud.</x:v>
      </x:c>
      <x:c r="K91" s="21" t="str">
        <x:v>NOT_ADOPTED_TO_PAGE</x:v>
      </x:c>
      <x:c r="L91" s="21" t="str">
        <x:v>BLOCKED</x:v>
      </x:c>
      <x:c r="M91" s="21" t="str">
        <x:v>BLOCKED</x:v>
      </x:c>
      <x:c r="N91" s="21" t="str">
        <x:v>BLOCKED</x:v>
      </x:c>
    </x:row>
    <x:row r="92">
      <x:c r="A92" s="21" t="str">
        <x:v>P0-SRC-RIWAQ-DEIR-AMMAR</x:v>
      </x:c>
      <x:c r="B92" s="21" t="str">
        <x:v>Deir Ammar</x:v>
      </x:c>
      <x:c r="C92" s="21" t="str">
        <x:v>Riwaq Centre for Architectural Conservation</x:v>
      </x:c>
      <x:c r="D92" s="21" t="str">
        <x:v>palestinian_historic_centre_registry</x:v>
      </x:c>
      <x:c r="E92" s="21" t="str">
        <x:v>https://www.riwaq.org/page/1184</x:v>
      </x:c>
      <x:c r="F92" s="21" t="str">
        <x:v>RESEARCH_BACKLOG_SOURCE</x:v>
      </x:c>
      <x:c r="G92" s="21" t="n">
        <x:v>1</x:v>
      </x:c>
      <x:c r="H92" s="21" t="n">
        <x:v>0</x:v>
      </x:c>
      <x:c r="I92" s="21" t="str">
        <x:v>RESEARCH_SOURCE_INSPECTED</x:v>
      </x:c>
      <x:c r="J92" s="21" t="str">
        <x:v>Confirms historic-centre identity but provides no complete public constituent inventory or GIS boundary.</x:v>
      </x:c>
      <x:c r="K92" s="21" t="str">
        <x:v>NOT_ADOPTED_TO_PAGE</x:v>
      </x:c>
      <x:c r="L92" s="21" t="str">
        <x:v>BLOCKED</x:v>
      </x:c>
      <x:c r="M92" s="21" t="str">
        <x:v>BLOCKED</x:v>
      </x:c>
      <x:c r="N92" s="21" t="str">
        <x:v>BLOCKED</x:v>
      </x:c>
    </x:row>
    <x:row r="93">
      <x:c r="A93" s="21" t="str">
        <x:v>P0-SRC-UNESCO-GAZA-HISTORIC-CENTRE</x:v>
      </x:c>
      <x:c r="B93" s="21" t="str">
        <x:v>The Historic Centre of Gaza</x:v>
      </x:c>
      <x:c r="C93" s="21" t="str">
        <x:v>State of Palestine submission published by UNESCO</x:v>
      </x:c>
      <x:c r="D93" s="21" t="str">
        <x:v>official_state_party_tentative_list_submission</x:v>
      </x:c>
      <x:c r="E93" s="21" t="str">
        <x:v>https://whc.unesco.org/en/tentativelists/6955/</x:v>
      </x:c>
      <x:c r="F93" s="21" t="str">
        <x:v>RESEARCH_BACKLOG_SOURCE</x:v>
      </x:c>
      <x:c r="G93" s="21" t="n">
        <x:v>1</x:v>
      </x:c>
      <x:c r="H93" s="21" t="n">
        <x:v>0</x:v>
      </x:c>
      <x:c r="I93" s="21" t="str">
        <x:v>RESEARCH_SOURCE_INSPECTED</x:v>
      </x:c>
      <x:c r="J93" s="21" t="str">
        <x:v>Defines a proposed 1.7 km² historic centre; does not provide a complete 2026 integrity or engineering survey.</x:v>
      </x:c>
      <x:c r="K93" s="21" t="str">
        <x:v>NOT_ADOPTED_TO_PAGE</x:v>
      </x:c>
      <x:c r="L93" s="21" t="str">
        <x:v>BLOCKED</x:v>
      </x:c>
      <x:c r="M93" s="21" t="str">
        <x:v>BLOCKED</x:v>
      </x:c>
      <x:c r="N93" s="21" t="str">
        <x:v>BLOCKED</x:v>
      </x:c>
    </x:row>
    <x:row r="94">
      <x:c r="A94" s="21" t="str">
        <x:v>P0-SRC-UNESCO-ANTHEDON</x:v>
      </x:c>
      <x:c r="B94" s="21" t="str">
        <x:v>Anthedon Harbour</x:v>
      </x:c>
      <x:c r="C94" s="21" t="str">
        <x:v>State of Palestine submission published by UNESCO</x:v>
      </x:c>
      <x:c r="D94" s="21" t="str">
        <x:v>official_state_party_tentative_list_submission</x:v>
      </x:c>
      <x:c r="E94" s="21" t="str">
        <x:v>https://whc.unesco.org/en/tentativelists/5719/</x:v>
      </x:c>
      <x:c r="F94" s="21" t="str">
        <x:v>RESEARCH_BACKLOG_SOURCE</x:v>
      </x:c>
      <x:c r="G94" s="21" t="n">
        <x:v>1</x:v>
      </x:c>
      <x:c r="H94" s="21" t="n">
        <x:v>0</x:v>
      </x:c>
      <x:c r="I94" s="21" t="str">
        <x:v>RESEARCH_SOURCE_INSPECTED</x:v>
      </x:c>
      <x:c r="J94" s="21" t="str">
        <x:v>Ancient harbour identity with explicit uncertainty over precise site identification; no current engineering severity assessment.</x:v>
      </x:c>
      <x:c r="K94" s="21" t="str">
        <x:v>NOT_ADOPTED_TO_PAGE</x:v>
      </x:c>
      <x:c r="L94" s="21" t="str">
        <x:v>BLOCKED</x:v>
      </x:c>
      <x:c r="M94" s="21" t="str">
        <x:v>BLOCKED</x:v>
      </x:c>
      <x:c r="N94" s="21" t="str">
        <x:v>BLOCKED</x:v>
      </x:c>
    </x:row>
    <x:row r="95">
      <x:c r="A95" s="21" t="str">
        <x:v>P0-SRC-NABLUS-MUNICIPALITY</x:v>
      </x:c>
      <x:c r="B95" s="21" t="str">
        <x:v>Nablus City Story</x:v>
      </x:c>
      <x:c r="C95" s="21" t="str">
        <x:v>Nablus Municipality</x:v>
      </x:c>
      <x:c r="D95" s="21" t="str">
        <x:v>official_municipal_heritage_record</x:v>
      </x:c>
      <x:c r="E95" s="21" t="str">
        <x:v>https://nablus.org/images/reports/nablus_city_story_en.pdf</x:v>
      </x:c>
      <x:c r="F95" s="21" t="str">
        <x:v>RESEARCH_BACKLOG_SOURCE</x:v>
      </x:c>
      <x:c r="G95" s="21" t="n">
        <x:v>2</x:v>
      </x:c>
      <x:c r="H95" s="21" t="n">
        <x:v>0</x:v>
      </x:c>
      <x:c r="I95" s="21" t="str">
        <x:v>RESEARCH_SOURCE_INSPECTED</x:v>
      </x:c>
      <x:c r="J95" s="21" t="str">
        <x:v>Historic urban and mosque context; not a complete current condition inventory of every component.</x:v>
      </x:c>
      <x:c r="K95" s="21" t="str">
        <x:v>NOT_ADOPTED_TO_PAGE</x:v>
      </x:c>
      <x:c r="L95" s="21" t="str">
        <x:v>BLOCKED</x:v>
      </x:c>
      <x:c r="M95" s="21" t="str">
        <x:v>BLOCKED</x:v>
      </x:c>
      <x:c r="N95" s="21" t="str">
        <x:v>BLOCKED</x:v>
      </x:c>
    </x:row>
    <x:row r="96">
      <x:c r="A96" s="21" t="str">
        <x:v>P0-SRC-AP-NASR-2025</x:v>
      </x:c>
      <x:c r="B96" s="21" t="str">
        <x:v>Nablus mosque damage report, 7 March 2025</x:v>
      </x:c>
      <x:c r="C96" s="21" t="str">
        <x:v>Associated Press</x:v>
      </x:c>
      <x:c r="D96" s="21" t="str">
        <x:v>current_news_with_attributed_palestinian_authority_statements</x:v>
      </x:c>
      <x:c r="E96" s="21" t="str">
        <x:v>https://apnews.com/article/b86b8e364109278023b23147ea8b4ce0</x:v>
      </x:c>
      <x:c r="F96" s="21" t="str">
        <x:v>RESEARCH_BACKLOG_SOURCE</x:v>
      </x:c>
      <x:c r="G96" s="21" t="n">
        <x:v>1</x:v>
      </x:c>
      <x:c r="H96" s="21" t="n">
        <x:v>0</x:v>
      </x:c>
      <x:c r="I96" s="21" t="str">
        <x:v>RESEARCH_SOURCE_INSPECTED</x:v>
      </x:c>
      <x:c r="J96" s="21" t="str">
        <x:v>Reports Palestinian authority statements and visible fire damage at Al-Nasr Mosque; not a conservation-engineering report.</x:v>
      </x:c>
      <x:c r="K96" s="21" t="str">
        <x:v>NOT_ADOPTED_TO_PAGE</x:v>
      </x:c>
      <x:c r="L96" s="21" t="str">
        <x:v>BLOCKED</x:v>
      </x:c>
      <x:c r="M96" s="21" t="str">
        <x:v>BLOCKED</x:v>
      </x:c>
      <x:c r="N96" s="21" t="str">
        <x:v>BLOCKED</x:v>
      </x:c>
    </x:row>
  </x:sheetData>
  <x:pageMargins left="0.7" right="0.7" top="0.75" bottom="0.75" header="0.3" footer="0.3"/>
  <x:tableParts count="1">
    <x:tablePart xmlns:r="http://schemas.openxmlformats.org/officeDocument/2006/relationships" r:id="R57d614d09a534ae9"/>
  </x:tableParts>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18" hidden="0" customWidth="1"/>
    <x:col min="5" max="5" width="26" hidden="0" customWidth="1"/>
    <x:col min="6" max="6" width="38" hidden="0" customWidth="1"/>
    <x:col min="7" max="7" width="38" hidden="0" customWidth="1"/>
    <x:col min="8" max="8" width="26" hidden="0" customWidth="1"/>
    <x:col min="9" max="9" width="26" hidden="0" customWidth="1"/>
    <x:col min="10" max="10" width="18" hidden="0" customWidth="1"/>
    <x:col min="11" max="11" width="18" hidden="0" customWidth="1"/>
  </x:cols>
  <x:sheetData>
    <x:row r="1">
      <x:c r="A1" s="14" t="str">
        <x:v>editorial_record_id</x:v>
      </x:c>
      <x:c r="B1" s="14" t="str">
        <x:v>claim_id</x:v>
      </x:c>
      <x:c r="C1" s="14" t="str">
        <x:v>canonical_site_id</x:v>
      </x:c>
      <x:c r="D1" s="14" t="str">
        <x:v>canonical_slug</x:v>
      </x:c>
      <x:c r="E1" s="14" t="str">
        <x:v>name_ar</x:v>
      </x:c>
      <x:c r="F1" s="14" t="str">
        <x:v>historically_reviewed_text_ar</x:v>
      </x:c>
      <x:c r="G1" s="14" t="str">
        <x:v>source_ids</x:v>
      </x:c>
      <x:c r="H1" s="14" t="str">
        <x:v>historical_review_status</x:v>
      </x:c>
      <x:c r="I1" s="14" t="str">
        <x:v>rights_status</x:v>
      </x:c>
      <x:c r="J1" s="14" t="str">
        <x:v>database_import</x:v>
      </x:c>
      <x:c r="K1" s="14" t="str">
        <x:v>publication</x:v>
      </x:c>
    </x:row>
    <x:row r="2">
      <x:c r="A2" s="21" t="str">
        <x:v>ED-001</x:v>
      </x:c>
      <x:c r="B2" s="21" t="str">
        <x:v>site-4aeec5656d1d-W1-C01</x:v>
      </x:c>
      <x:c r="C2" s="21" t="str">
        <x:v>site-4aeec5656d1d</x:v>
      </x:c>
      <x:c r="D2" s="21" t="str">
        <x:v>lmsjd-l-qs-lmbrk-lhrm-lqdsy-lshryf-4aeec5</x:v>
      </x:c>
      <x:c r="E2" s="21" t="str">
        <x:v>المسجد الأقصى المبارك / الحرم القدسي الشريف</x:v>
      </x:c>
      <x:c r="F2" s="21" t="str">
        <x:v>تتعامل قرارات لجنة التراث العالمي مع المسجد الأقصى المبارك/الحرم القدسي الشريف بوصفه موقع عبادة إسلامياً وجزءاً لا يتجزأ من موقع القدس القديمة وأسوارها المدرج على قائمة التراث العالمي.</x:v>
      </x:c>
      <x:c r="G2" s="21" t="str">
        <x:v>AUTH-UNESCO-JERUSALEM-DECISION-001</x:v>
      </x:c>
      <x:c r="H2" s="21" t="str">
        <x:v>ACCEPTED_FOR_CANDIDATE_EDITORIAL_BASELINE</x:v>
      </x:c>
      <x:c r="I2" s="21" t="str">
        <x:v>TRIAGED_NOT_FULLY_CLEARED</x:v>
      </x:c>
      <x:c r="J2" s="21" t="str">
        <x:v>BLOCKED</x:v>
      </x:c>
      <x:c r="K2" s="21" t="str">
        <x:v>BLOCKED</x:v>
      </x:c>
    </x:row>
    <x:row r="3">
      <x:c r="A3" s="21" t="str">
        <x:v>ED-002</x:v>
      </x:c>
      <x:c r="B3" s="21" t="str">
        <x:v>site-4b15f14c306f-W1-C01</x:v>
      </x:c>
      <x:c r="C3" s="21" t="str">
        <x:v>site-4b15f14c306f</x:v>
      </x:c>
      <x:c r="D3" s="21" t="str">
        <x:v>knys-lmhd-4b15f1</x:v>
      </x:c>
      <x:c r="E3" s="21" t="str">
        <x:v>كنيسة المهد</x:v>
      </x:c>
      <x:c r="F3" s="21" t="str">
        <x:v>يرتبط الموقع، وفق التقليد المسيحي الموثق منذ القرن الثاني الميلادي، بميلاد السيد المسيح.</x:v>
      </x:c>
      <x:c r="G3" s="21" t="str">
        <x:v>AUTH-UNESCO-NATIVITY-001</x:v>
      </x:c>
      <x:c r="H3" s="21" t="str">
        <x:v>ACCEPTED_FOR_CANDIDATE_EDITORIAL_BASELINE</x:v>
      </x:c>
      <x:c r="I3" s="21" t="str">
        <x:v>TRIAGED_NOT_FULLY_CLEARED</x:v>
      </x:c>
      <x:c r="J3" s="21" t="str">
        <x:v>BLOCKED</x:v>
      </x:c>
      <x:c r="K3" s="21" t="str">
        <x:v>BLOCKED</x:v>
      </x:c>
    </x:row>
    <x:row r="4">
      <x:c r="A4" s="21" t="str">
        <x:v>ED-003</x:v>
      </x:c>
      <x:c r="B4" s="21" t="str">
        <x:v>site-4b15f14c306f-W1-C02</x:v>
      </x:c>
      <x:c r="C4" s="21" t="str">
        <x:v>site-4b15f14c306f</x:v>
      </x:c>
      <x:c r="D4" s="21" t="str">
        <x:v>knys-lmhd-4b15f1</x:v>
      </x:c>
      <x:c r="E4" s="21" t="str">
        <x:v>كنيسة المهد</x:v>
      </x:c>
      <x:c r="F4" s="21" t="str">
        <x:v>اكتمل أول بناء كنسي موثق في الموقع سنة 339م، ثم أُقيم بناء بديل بعد حريق في القرن السادس، مع بقاء أجزاء من فسيفساء الكنيسة الأولى.</x:v>
      </x:c>
      <x:c r="G4" s="21" t="str">
        <x:v>AUTH-UNESCO-NATIVITY-001</x:v>
      </x:c>
      <x:c r="H4" s="21" t="str">
        <x:v>ACCEPTED_FOR_CANDIDATE_EDITORIAL_BASELINE</x:v>
      </x:c>
      <x:c r="I4" s="21" t="str">
        <x:v>TRIAGED_NOT_FULLY_CLEARED</x:v>
      </x:c>
      <x:c r="J4" s="21" t="str">
        <x:v>BLOCKED</x:v>
      </x:c>
      <x:c r="K4" s="21" t="str">
        <x:v>BLOCKED</x:v>
      </x:c>
    </x:row>
    <x:row r="5">
      <x:c r="A5" s="21" t="str">
        <x:v>ED-004</x:v>
      </x:c>
      <x:c r="B5" s="21" t="str">
        <x:v>site-88fede7b6df0-W1-C01</x:v>
      </x:c>
      <x:c r="C5" s="21" t="str">
        <x:v>site-88fede7b6df0</x:v>
      </x:c>
      <x:c r="D5" s="21" t="str">
        <x:v>qry-btyr-88fede</x:v>
      </x:c>
      <x:c r="E5" s="21" t="str">
        <x:v>قرية بتير</x:v>
      </x:c>
      <x:c r="F5" s="21" t="str">
        <x:v>تمثل بتير مشهداً ثقافياً فلسطينياً يقوم على مصاطب حجرية جافة ونظام ري معقد يدعم زراعة الزيتون والخضروات.</x:v>
      </x:c>
      <x:c r="G5" s="21" t="str">
        <x:v>AUTH-UNESCO-BATTIR-001</x:v>
      </x:c>
      <x:c r="H5" s="21" t="str">
        <x:v>ACCEPTED_FOR_CANDIDATE_EDITORIAL_BASELINE</x:v>
      </x:c>
      <x:c r="I5" s="21" t="str">
        <x:v>TRIAGED_NOT_FULLY_CLEARED</x:v>
      </x:c>
      <x:c r="J5" s="21" t="str">
        <x:v>BLOCKED</x:v>
      </x:c>
      <x:c r="K5" s="21" t="str">
        <x:v>BLOCKED</x:v>
      </x:c>
    </x:row>
    <x:row r="6">
      <x:c r="A6" s="21" t="str">
        <x:v>ED-005</x:v>
      </x:c>
      <x:c r="B6" s="21" t="str">
        <x:v>site-88fede7b6df0-W1-C02</x:v>
      </x:c>
      <x:c r="C6" s="21" t="str">
        <x:v>site-88fede7b6df0</x:v>
      </x:c>
      <x:c r="D6" s="21" t="str">
        <x:v>qry-btyr-88fede</x:v>
      </x:c>
      <x:c r="E6" s="21" t="str">
        <x:v>قرية بتير</x:v>
      </x:c>
      <x:c r="F6" s="21" t="str">
        <x:v>يعتمد توزيع مياه الري بين العائلات على دورة زمنية منظمة وآلية حسابية لتخصيص الحصص.</x:v>
      </x:c>
      <x:c r="G6" s="21" t="str">
        <x:v>AUTH-UNESCO-BATTIR-001</x:v>
      </x:c>
      <x:c r="H6" s="21" t="str">
        <x:v>ACCEPTED_FOR_CANDIDATE_EDITORIAL_BASELINE</x:v>
      </x:c>
      <x:c r="I6" s="21" t="str">
        <x:v>TRIAGED_NOT_FULLY_CLEARED</x:v>
      </x:c>
      <x:c r="J6" s="21" t="str">
        <x:v>BLOCKED</x:v>
      </x:c>
      <x:c r="K6" s="21" t="str">
        <x:v>BLOCKED</x:v>
      </x:c>
    </x:row>
    <x:row r="7">
      <x:c r="A7" s="21" t="str">
        <x:v>ED-006</x:v>
      </x:c>
      <x:c r="B7" s="21" t="str">
        <x:v>site-6b6c5a396756-W1-C01</x:v>
      </x:c>
      <x:c r="C7" s="21" t="str">
        <x:v>site-6b6c5a396756</x:v>
      </x:c>
      <x:c r="D7" s="21" t="str">
        <x:v>bld-lkhlyl-lqdym-6b6c5a</x:v>
      </x:c>
      <x:c r="E7" s="21" t="str">
        <x:v>بلدة الخليل القديمة</x:v>
      </x:c>
      <x:c r="F7" s="21" t="str">
        <x:v>تحافظ البلدة القديمة في الخليل بدرجة كبيرة على نسيجها العمراني المملوكي، مع إضافات وتوسعات من الفترة العثمانية.</x:v>
      </x:c>
      <x:c r="G7" s="21" t="str">
        <x:v>AUTH-UNESCO-HEBRON-001</x:v>
      </x:c>
      <x:c r="H7" s="21" t="str">
        <x:v>ACCEPTED_FOR_CANDIDATE_EDITORIAL_BASELINE</x:v>
      </x:c>
      <x:c r="I7" s="21" t="str">
        <x:v>TRIAGED_NOT_FULLY_CLEARED</x:v>
      </x:c>
      <x:c r="J7" s="21" t="str">
        <x:v>BLOCKED</x:v>
      </x:c>
      <x:c r="K7" s="21" t="str">
        <x:v>BLOCKED</x:v>
      </x:c>
    </x:row>
    <x:row r="8">
      <x:c r="A8" s="21" t="str">
        <x:v>ED-007</x:v>
      </x:c>
      <x:c r="B8" s="21" t="str">
        <x:v>site-6b6c5a396756-W1-C02</x:v>
      </x:c>
      <x:c r="C8" s="21" t="str">
        <x:v>site-6b6c5a396756</x:v>
      </x:c>
      <x:c r="D8" s="21" t="str">
        <x:v>bld-lkhlyl-lqdym-6b6c5a</x:v>
      </x:c>
      <x:c r="E8" s="21" t="str">
        <x:v>بلدة الخليل القديمة</x:v>
      </x:c>
      <x:c r="F8" s="21" t="str">
        <x:v>يشكل مجمع الحرم الإبراهيمي/مغارة البطاركة محوراً أساسياً في البلدة القديمة، ويعود السور التذكاري المحيط بالمجمع إلى القرن الأول الميلادي.</x:v>
      </x:c>
      <x:c r="G8" s="21" t="str">
        <x:v>AUTH-UNESCO-HEBRON-001</x:v>
      </x:c>
      <x:c r="H8" s="21" t="str">
        <x:v>ACCEPTED_FOR_CANDIDATE_EDITORIAL_BASELINE</x:v>
      </x:c>
      <x:c r="I8" s="21" t="str">
        <x:v>TRIAGED_NOT_FULLY_CLEARED</x:v>
      </x:c>
      <x:c r="J8" s="21" t="str">
        <x:v>BLOCKED</x:v>
      </x:c>
      <x:c r="K8" s="21" t="str">
        <x:v>BLOCKED</x:v>
      </x:c>
    </x:row>
    <x:row r="9">
      <x:c r="A9" s="21" t="str">
        <x:v>ED-008</x:v>
      </x:c>
      <x:c r="B9" s="21" t="str">
        <x:v>site-6b6c5a396756-W1-C03</x:v>
      </x:c>
      <x:c r="C9" s="21" t="str">
        <x:v>site-6b6c5a396756</x:v>
      </x:c>
      <x:c r="D9" s="21" t="str">
        <x:v>bld-lkhlyl-lqdym-6b6c5a</x:v>
      </x:c>
      <x:c r="E9" s="21" t="str">
        <x:v>بلدة الخليل القديمة</x:v>
      </x:c>
      <x:c r="F9" s="21" t="str">
        <x:v>يحظى الموقع بمكانة دينية لدى اليهودية والمسيحية والإسلام.</x:v>
      </x:c>
      <x:c r="G9" s="21" t="str">
        <x:v>AUTH-UNESCO-HEBRON-001</x:v>
      </x:c>
      <x:c r="H9" s="21" t="str">
        <x:v>ACCEPTED_FOR_CANDIDATE_EDITORIAL_BASELINE</x:v>
      </x:c>
      <x:c r="I9" s="21" t="str">
        <x:v>TRIAGED_NOT_FULLY_CLEARED</x:v>
      </x:c>
      <x:c r="J9" s="21" t="str">
        <x:v>BLOCKED</x:v>
      </x:c>
      <x:c r="K9" s="21" t="str">
        <x:v>BLOCKED</x:v>
      </x:c>
    </x:row>
    <x:row r="10">
      <x:c r="A10" s="21" t="str">
        <x:v>ED-009</x:v>
      </x:c>
      <x:c r="B10" s="21" t="str">
        <x:v>site-899e38be070d-W1-C01</x:v>
      </x:c>
      <x:c r="C10" s="21" t="str">
        <x:v>site-899e38be070d</x:v>
      </x:c>
      <x:c r="D10" s="21" t="str">
        <x:v>lhrm-lbrhymy-899e38</x:v>
      </x:c>
      <x:c r="E10" s="21" t="str">
        <x:v>الحرم الإبراهيمي</x:v>
      </x:c>
      <x:c r="F10" s="21" t="str">
        <x:v>أُقيم السور التذكاري المحيط بالمغارة المقدسة في القرن الأول الميلادي.</x:v>
      </x:c>
      <x:c r="G10" s="21" t="str">
        <x:v>AUTH-UNESCO-HEBRON-001</x:v>
      </x:c>
      <x:c r="H10" s="21" t="str">
        <x:v>ACCEPTED_FOR_CANDIDATE_EDITORIAL_BASELINE</x:v>
      </x:c>
      <x:c r="I10" s="21" t="str">
        <x:v>TRIAGED_NOT_FULLY_CLEARED</x:v>
      </x:c>
      <x:c r="J10" s="21" t="str">
        <x:v>BLOCKED</x:v>
      </x:c>
      <x:c r="K10" s="21" t="str">
        <x:v>BLOCKED</x:v>
      </x:c>
    </x:row>
    <x:row r="11">
      <x:c r="A11" s="21" t="str">
        <x:v>ED-010</x:v>
      </x:c>
      <x:c r="B11" s="21" t="str">
        <x:v>site-899e38be070d-W1-C02</x:v>
      </x:c>
      <x:c r="C11" s="21" t="str">
        <x:v>site-899e38be070d</x:v>
      </x:c>
      <x:c r="D11" s="21" t="str">
        <x:v>lhrm-lbrhymy-899e38</x:v>
      </x:c>
      <x:c r="E11" s="21" t="str">
        <x:v>الحرم الإبراهيمي</x:v>
      </x:c>
      <x:c r="F11" s="21" t="str">
        <x:v>يرتبط الموقع بتقاليد دينية تتصل بالنبي إبراهيم، ويحظى بالتبجيل في الديانات التوحيدية الثلاث.</x:v>
      </x:c>
      <x:c r="G11" s="21" t="str">
        <x:v>AUTH-UNESCO-HEBRON-001</x:v>
      </x:c>
      <x:c r="H11" s="21" t="str">
        <x:v>ACCEPTED_FOR_CANDIDATE_EDITORIAL_BASELINE</x:v>
      </x:c>
      <x:c r="I11" s="21" t="str">
        <x:v>TRIAGED_NOT_FULLY_CLEARED</x:v>
      </x:c>
      <x:c r="J11" s="21" t="str">
        <x:v>BLOCKED</x:v>
      </x:c>
      <x:c r="K11" s="21" t="str">
        <x:v>BLOCKED</x:v>
      </x:c>
    </x:row>
    <x:row r="12">
      <x:c r="A12" s="21" t="str">
        <x:v>ED-011</x:v>
      </x:c>
      <x:c r="B12" s="21" t="str">
        <x:v>site-a86fc049d470-W1-C01</x:v>
      </x:c>
      <x:c r="C12" s="21" t="str">
        <x:v>site-a86fc049d470</x:v>
      </x:c>
      <x:c r="D12" s="21" t="str">
        <x:v>tl-lsltn-ryh-lqdym-a86fc0</x:v>
      </x:c>
      <x:c r="E12" s="21" t="str">
        <x:v>تل السلطان (أريحا القديمة)</x:v>
      </x:c>
      <x:c r="F12" s="21" t="str">
        <x:v>يحتوي موقع تل السلطان على ترسبات تدل على نشاط بشري يعود إلى نحو 10,500 قبل الميلاد.</x:v>
      </x:c>
      <x:c r="G12" s="21" t="str">
        <x:v>AUTH-UNESCO-JERICHO-001</x:v>
      </x:c>
      <x:c r="H12" s="21" t="str">
        <x:v>ACCEPTED_FOR_CANDIDATE_EDITORIAL_BASELINE</x:v>
      </x:c>
      <x:c r="I12" s="21" t="str">
        <x:v>TRIAGED_NOT_FULLY_CLEARED</x:v>
      </x:c>
      <x:c r="J12" s="21" t="str">
        <x:v>BLOCKED</x:v>
      </x:c>
      <x:c r="K12" s="21" t="str">
        <x:v>BLOCKED</x:v>
      </x:c>
    </x:row>
    <x:row r="13">
      <x:c r="A13" s="21" t="str">
        <x:v>ED-012</x:v>
      </x:c>
      <x:c r="B13" s="21" t="str">
        <x:v>site-a86fc049d470-W1-C02</x:v>
      </x:c>
      <x:c r="C13" s="21" t="str">
        <x:v>site-a86fc049d470</x:v>
      </x:c>
      <x:c r="D13" s="21" t="str">
        <x:v>tl-lsltn-ryh-lqdym-a86fc0</x:v>
      </x:c>
      <x:c r="E13" s="21" t="str">
        <x:v>تل السلطان (أريحا القديمة)</x:v>
      </x:c>
      <x:c r="F13" s="21" t="str">
        <x:v>أصبح الموقع في الألفيتين التاسعة والثامنة قبل الميلاد مستوطنة دائمة كبيرة، وما زالت فيه بقايا سور وخندق وبرج.</x:v>
      </x:c>
      <x:c r="G13" s="21" t="str">
        <x:v>AUTH-UNESCO-JERICHO-001</x:v>
      </x:c>
      <x:c r="H13" s="21" t="str">
        <x:v>ACCEPTED_FOR_CANDIDATE_EDITORIAL_BASELINE</x:v>
      </x:c>
      <x:c r="I13" s="21" t="str">
        <x:v>TRIAGED_NOT_FULLY_CLEARED</x:v>
      </x:c>
      <x:c r="J13" s="21" t="str">
        <x:v>BLOCKED</x:v>
      </x:c>
      <x:c r="K13" s="21" t="str">
        <x:v>BLOCKED</x:v>
      </x:c>
    </x:row>
    <x:row r="14">
      <x:c r="A14" s="21" t="str">
        <x:v>ED-013</x:v>
      </x:c>
      <x:c r="B14" s="21" t="str">
        <x:v>site-a86fc049d470-W1-C03</x:v>
      </x:c>
      <x:c r="C14" s="21" t="str">
        <x:v>site-a86fc049d470</x:v>
      </x:c>
      <x:c r="D14" s="21" t="str">
        <x:v>tl-lsltn-ryh-lqdym-a86fc0</x:v>
      </x:c>
      <x:c r="E14" s="21" t="str">
        <x:v>تل السلطان (أريحا القديمة)</x:v>
      </x:c>
      <x:c r="F14" s="21" t="str">
        <x:v>تشير بقايا العصر البرونزي الأوسط إلى وجود مدينة-دولة كنعانية كبيرة في الموقع.</x:v>
      </x:c>
      <x:c r="G14" s="21" t="str">
        <x:v>AUTH-UNESCO-JERICHO-001</x:v>
      </x:c>
      <x:c r="H14" s="21" t="str">
        <x:v>ACCEPTED_FOR_CANDIDATE_EDITORIAL_BASELINE</x:v>
      </x:c>
      <x:c r="I14" s="21" t="str">
        <x:v>TRIAGED_NOT_FULLY_CLEARED</x:v>
      </x:c>
      <x:c r="J14" s="21" t="str">
        <x:v>BLOCKED</x:v>
      </x:c>
      <x:c r="K14" s="21" t="str">
        <x:v>BLOCKED</x:v>
      </x:c>
    </x:row>
    <x:row r="15">
      <x:c r="A15" s="21" t="str">
        <x:v>ED-014</x:v>
      </x:c>
      <x:c r="B15" s="21" t="str">
        <x:v>site-6f6afe87f969-W1-C01</x:v>
      </x:c>
      <x:c r="C15" s="21" t="str">
        <x:v>site-6f6afe87f969</x:v>
      </x:c>
      <x:c r="D15" s="21" t="str">
        <x:v>sbsty-shmrwn-6f6afe</x:v>
      </x:c>
      <x:c r="E15" s="21" t="str">
        <x:v>سبسطية (شمرون)</x:v>
      </x:c>
      <x:c r="F15" s="21" t="str">
        <x:v>أدرجت دولة فلسطين سبسطية في قائمتها التمهيدية لدى اليونسكو سنة 2012.</x:v>
      </x:c>
      <x:c r="G15" s="21" t="str">
        <x:v>AUTH-UNESCO-SEBASTIA-001</x:v>
      </x:c>
      <x:c r="H15" s="21" t="str">
        <x:v>ACCEPTED_FOR_CANDIDATE_EDITORIAL_BASELINE</x:v>
      </x:c>
      <x:c r="I15" s="21" t="str">
        <x:v>TRIAGED_NOT_FULLY_CLEARED</x:v>
      </x:c>
      <x:c r="J15" s="21" t="str">
        <x:v>BLOCKED</x:v>
      </x:c>
      <x:c r="K15" s="21" t="str">
        <x:v>BLOCKED</x:v>
      </x:c>
    </x:row>
    <x:row r="16">
      <x:c r="A16" s="21" t="str">
        <x:v>ED-015</x:v>
      </x:c>
      <x:c r="B16" s="21" t="str">
        <x:v>site-6f6afe87f969-W1-C02</x:v>
      </x:c>
      <x:c r="C16" s="21" t="str">
        <x:v>site-6f6afe87f969</x:v>
      </x:c>
      <x:c r="D16" s="21" t="str">
        <x:v>sbsty-shmrwn-6f6afe</x:v>
      </x:c>
      <x:c r="E16" s="21" t="str">
        <x:v>سبسطية (شمرون)</x:v>
      </x:c>
      <x:c r="F16" s="21" t="str">
        <x:v>يصف ملف دولة فلسطين سبسطية بأنها عاصمة في العصر الحديدي الثاني ومركزاً عمرانياً مهماً في العصرين الهلنستي والروماني، كما يوثق حملات تنقيب رئيسية في الموقع.</x:v>
      </x:c>
      <x:c r="G16" s="21" t="str">
        <x:v>AUTH-UNESCO-SEBASTIA-001</x:v>
      </x:c>
      <x:c r="H16" s="21" t="str">
        <x:v>ACCEPTED_FOR_CANDIDATE_EDITORIAL_BASELINE</x:v>
      </x:c>
      <x:c r="I16" s="21" t="str">
        <x:v>TRIAGED_NOT_FULLY_CLEARED</x:v>
      </x:c>
      <x:c r="J16" s="21" t="str">
        <x:v>BLOCKED</x:v>
      </x:c>
      <x:c r="K16" s="21" t="str">
        <x:v>BLOCKED</x:v>
      </x:c>
    </x:row>
    <x:row r="17">
      <x:c r="A17" s="21" t="str">
        <x:v>ED-016</x:v>
      </x:c>
      <x:c r="B17" s="21" t="str">
        <x:v>site-6f6afe87f969-W1-C03</x:v>
      </x:c>
      <x:c r="C17" s="21" t="str">
        <x:v>site-6f6afe87f969</x:v>
      </x:c>
      <x:c r="D17" s="21" t="str">
        <x:v>sbsty-shmrwn-6f6afe</x:v>
      </x:c>
      <x:c r="E17" s="21" t="str">
        <x:v>سبسطية (شمرون)</x:v>
      </x:c>
      <x:c r="F17" s="21" t="str">
        <x:v>ترتبط سبسطية، في التقاليد المسيحية والإسلامية، بالنبي يحيى/يوحنا المعمدان.</x:v>
      </x:c>
      <x:c r="G17" s="21" t="str">
        <x:v>AUTH-UNESCO-SEBASTIA-001</x:v>
      </x:c>
      <x:c r="H17" s="21" t="str">
        <x:v>ACCEPTED_FOR_CANDIDATE_EDITORIAL_BASELINE</x:v>
      </x:c>
      <x:c r="I17" s="21" t="str">
        <x:v>TRIAGED_NOT_FULLY_CLEARED</x:v>
      </x:c>
      <x:c r="J17" s="21" t="str">
        <x:v>BLOCKED</x:v>
      </x:c>
      <x:c r="K17" s="21" t="str">
        <x:v>BLOCKED</x:v>
      </x:c>
    </x:row>
    <x:row r="18">
      <x:c r="A18" s="21" t="str">
        <x:v>ED-017</x:v>
      </x:c>
      <x:c r="B18" s="21" t="str">
        <x:v>site-0285c869e647-W1-C01</x:v>
      </x:c>
      <x:c r="C18" s="21" t="str">
        <x:v>site-0285c869e647</x:v>
      </x:c>
      <x:c r="D18" s="21" t="str">
        <x:v>qsr-hshm-khrb-lmfjr-0285c8</x:v>
      </x:c>
      <x:c r="E18" s="21" t="str">
        <x:v>قصر هشام (خربة المفجر)</x:v>
      </x:c>
      <x:c r="F18" s="21" t="str">
        <x:v>يؤرخ ملف دولة فلسطين مجمع خربة المفجر بالفترة بين 724 و743م، ويرجح ارتباط بنائه بهشام بن عبد الملك ثم استكمال زخرفته في عهد الوليد الثاني.</x:v>
      </x:c>
      <x:c r="G18" s="21" t="str">
        <x:v>AUTH-UNESCO-HISHAM-001</x:v>
      </x:c>
      <x:c r="H18" s="21" t="str">
        <x:v>ACCEPTED_FOR_CANDIDATE_EDITORIAL_BASELINE</x:v>
      </x:c>
      <x:c r="I18" s="21" t="str">
        <x:v>TRIAGED_NOT_FULLY_CLEARED</x:v>
      </x:c>
      <x:c r="J18" s="21" t="str">
        <x:v>BLOCKED</x:v>
      </x:c>
      <x:c r="K18" s="21" t="str">
        <x:v>BLOCKED</x:v>
      </x:c>
    </x:row>
    <x:row r="19">
      <x:c r="A19" s="21" t="str">
        <x:v>ED-018</x:v>
      </x:c>
      <x:c r="B19" s="21" t="str">
        <x:v>site-0285c869e647-W1-C02</x:v>
      </x:c>
      <x:c r="C19" s="21" t="str">
        <x:v>site-0285c869e647</x:v>
      </x:c>
      <x:c r="D19" s="21" t="str">
        <x:v>qsr-hshm-khrb-lmfjr-0285c8</x:v>
      </x:c>
      <x:c r="E19" s="21" t="str">
        <x:v>قصر هشام (خربة المفجر)</x:v>
      </x:c>
      <x:c r="F19" s="21" t="str">
        <x:v>يسجل الملف تعرض المجمع لزلزال سنة 749م، كما يوثق حفريات دائرة الآثار الفلسطينية بين 1935 و1948 بإدارة ديمتري برامكي وبمشاركة روبرت هاملتون.</x:v>
      </x:c>
      <x:c r="G19" s="21" t="str">
        <x:v>AUTH-UNESCO-HISHAM-001</x:v>
      </x:c>
      <x:c r="H19" s="21" t="str">
        <x:v>ACCEPTED_FOR_CANDIDATE_EDITORIAL_BASELINE</x:v>
      </x:c>
      <x:c r="I19" s="21" t="str">
        <x:v>TRIAGED_NOT_FULLY_CLEARED</x:v>
      </x:c>
      <x:c r="J19" s="21" t="str">
        <x:v>BLOCKED</x:v>
      </x:c>
      <x:c r="K19" s="21" t="str">
        <x:v>BLOCKED</x:v>
      </x:c>
    </x:row>
    <x:row r="20">
      <x:c r="A20" s="21" t="str">
        <x:v>ED-019</x:v>
      </x:c>
      <x:c r="B20" s="21" t="str">
        <x:v>site-0285c869e647-W1-C03</x:v>
      </x:c>
      <x:c r="C20" s="21" t="str">
        <x:v>site-0285c869e647</x:v>
      </x:c>
      <x:c r="D20" s="21" t="str">
        <x:v>qsr-hshm-khrb-lmfjr-0285c8</x:v>
      </x:c>
      <x:c r="E20" s="21" t="str">
        <x:v>قصر هشام (خربة المفجر)</x:v>
      </x:c>
      <x:c r="F20" s="21" t="str">
        <x:v>يضم الموقع مجمع حمامات كبيراً وزخارف فسيفسائية واسعة، من بينها لوحة شجرة الحياة.</x:v>
      </x:c>
      <x:c r="G20" s="21" t="str">
        <x:v>AUTH-UNESCO-HISHAM-001</x:v>
      </x:c>
      <x:c r="H20" s="21" t="str">
        <x:v>ACCEPTED_FOR_CANDIDATE_EDITORIAL_BASELINE</x:v>
      </x:c>
      <x:c r="I20" s="21" t="str">
        <x:v>TRIAGED_NOT_FULLY_CLEARED</x:v>
      </x:c>
      <x:c r="J20" s="21" t="str">
        <x:v>BLOCKED</x:v>
      </x:c>
      <x:c r="K20" s="21" t="str">
        <x:v>BLOCKED</x:v>
      </x:c>
    </x:row>
    <x:row r="21">
      <x:c r="A21" s="21" t="str">
        <x:v>ED-020</x:v>
      </x:c>
      <x:c r="B21" s="21" t="str">
        <x:v>site-f9df0c7e708c-W2-C01</x:v>
      </x:c>
      <x:c r="C21" s="21" t="str">
        <x:v>site-f9df0c7e708c</x:v>
      </x:c>
      <x:c r="D21" s="21" t="str">
        <x:v>bld-slwn-f9df0c</x:v>
      </x:c>
      <x:c r="E21" s="21" t="str">
        <x:v>بلدة سلوان</x:v>
      </x:c>
      <x:c r="F21" s="21" t="str">
        <x:v>يضع ملف دولة فلسطين سلوان ضمن السياق الجغرافي التاريخي المحيط بالبلدة القديمة، ويعرض عين جيحون بوصفها مصدراً مائياً محورياً في تطور القدس.</x:v>
      </x:c>
      <x:c r="G21" s="21" t="str">
        <x:v>W2-AUTH-UNESCO-JERUSALEM-EXTENSION-001</x:v>
      </x:c>
      <x:c r="H21" s="21" t="str">
        <x:v>ACCEPTED_FOR_CANDIDATE_EDITORIAL_BASELINE</x:v>
      </x:c>
      <x:c r="I21" s="21" t="str">
        <x:v>TRIAGED_NOT_FULLY_CLEARED</x:v>
      </x:c>
      <x:c r="J21" s="21" t="str">
        <x:v>BLOCKED</x:v>
      </x:c>
      <x:c r="K21" s="21" t="str">
        <x:v>BLOCKED</x:v>
      </x:c>
    </x:row>
    <x:row r="22">
      <x:c r="A22" s="21" t="str">
        <x:v>ED-021</x:v>
      </x:c>
      <x:c r="B22" s="21" t="str">
        <x:v>site-f9df0c7e708c-W2-C02</x:v>
      </x:c>
      <x:c r="C22" s="21" t="str">
        <x:v>site-f9df0c7e708c</x:v>
      </x:c>
      <x:c r="D22" s="21" t="str">
        <x:v>bld-slwn-f9df0c</x:v>
      </x:c>
      <x:c r="E22" s="21" t="str">
        <x:v>بلدة سلوان</x:v>
      </x:c>
      <x:c r="F22" s="21" t="str">
        <x:v>تسجل وثائق مراقبة اليونسكو تقارير ومخاوف قدمتها أطراف مختلفة بشأن أعمال حفر وأنفاق في سلوان؛ ولا تمثل هذه الإشارات تحقيقاً مستقلاً من اليونسكو في كل ادعاء.</x:v>
      </x:c>
      <x:c r="G22" s="21" t="str">
        <x:v>W2-AUTH-UNESCO-JERUSALEM-MONITOR-2015</x:v>
      </x:c>
      <x:c r="H22" s="21" t="str">
        <x:v>ACCEPTED_FOR_CANDIDATE_EDITORIAL_BASELINE</x:v>
      </x:c>
      <x:c r="I22" s="21" t="str">
        <x:v>TRIAGED_NOT_FULLY_CLEARED</x:v>
      </x:c>
      <x:c r="J22" s="21" t="str">
        <x:v>BLOCKED</x:v>
      </x:c>
      <x:c r="K22" s="21" t="str">
        <x:v>BLOCKED</x:v>
      </x:c>
    </x:row>
    <x:row r="23">
      <x:c r="A23" s="21" t="str">
        <x:v>ED-022</x:v>
      </x:c>
      <x:c r="B23" s="21" t="str">
        <x:v>site-f9067873c322-W2-C01</x:v>
      </x:c>
      <x:c r="C23" s="21" t="str">
        <x:v>site-f9067873c322</x:v>
      </x:c>
      <x:c r="D23" s="21" t="str">
        <x:v>hy-t-lbrq-f90678</x:v>
      </x:c>
      <x:c r="E23" s="21" t="str">
        <x:v>حائط البراق</x:v>
      </x:c>
      <x:c r="F23" s="21" t="str">
        <x:v>تعد اليونسكو حائط البراق/الحائط الغربي أحد المعالم الرئيسية ضمن موقع القدس القديمة وأسوارها.</x:v>
      </x:c>
      <x:c r="G23" s="21" t="str">
        <x:v>W2-AUTH-UNESCO-JERUSALEM-001</x:v>
      </x:c>
      <x:c r="H23" s="21" t="str">
        <x:v>ACCEPTED_FOR_CANDIDATE_EDITORIAL_BASELINE</x:v>
      </x:c>
      <x:c r="I23" s="21" t="str">
        <x:v>TRIAGED_NOT_FULLY_CLEARED</x:v>
      </x:c>
      <x:c r="J23" s="21" t="str">
        <x:v>BLOCKED</x:v>
      </x:c>
      <x:c r="K23" s="21" t="str">
        <x:v>BLOCKED</x:v>
      </x:c>
    </x:row>
    <x:row r="24">
      <x:c r="A24" s="21" t="str">
        <x:v>ED-023</x:v>
      </x:c>
      <x:c r="B24" s="21" t="str">
        <x:v>site-f9067873c322-W2-C02</x:v>
      </x:c>
      <x:c r="C24" s="21" t="str">
        <x:v>site-f9067873c322</x:v>
      </x:c>
      <x:c r="D24" s="21" t="str">
        <x:v>hy-t-lbrq-f90678</x:v>
      </x:c>
      <x:c r="E24" s="21" t="str">
        <x:v>حائط البراق</x:v>
      </x:c>
      <x:c r="F24" s="21" t="str">
        <x:v>شُكلت سنة 1930 لجنة دولية لبحث الحقوق والمطالب الإسلامية واليهودية المرتبطة بالحائط.</x:v>
      </x:c>
      <x:c r="G24" s="21" t="str">
        <x:v>W2-AUTH-UNISPAL-WESTERN-WALL-1930</x:v>
      </x:c>
      <x:c r="H24" s="21" t="str">
        <x:v>ACCEPTED_FOR_CANDIDATE_EDITORIAL_BASELINE</x:v>
      </x:c>
      <x:c r="I24" s="21" t="str">
        <x:v>TRIAGED_NOT_FULLY_CLEARED</x:v>
      </x:c>
      <x:c r="J24" s="21" t="str">
        <x:v>BLOCKED</x:v>
      </x:c>
      <x:c r="K24" s="21" t="str">
        <x:v>BLOCKED</x:v>
      </x:c>
    </x:row>
    <x:row r="25">
      <x:c r="A25" s="21" t="str">
        <x:v>ED-024</x:v>
      </x:c>
      <x:c r="B25" s="21" t="str">
        <x:v>site-4bbdf07d8d66-W2-C01</x:v>
      </x:c>
      <x:c r="C25" s="21" t="str">
        <x:v>site-4bbdf07d8d66</x:v>
      </x:c>
      <x:c r="D25" s="21" t="str">
        <x:v>swq-lqtnyn-4bbdf0</x:v>
      </x:c>
      <x:c r="E25" s="21" t="str">
        <x:v>سوق القطانين</x:v>
      </x:c>
      <x:c r="F25" s="21" t="str">
        <x:v>سوق القطانين سوق مملوكي يصل إلى شارع الواد، ويرتبط عبر باب القطانين بساحة الحرم الشريف.</x:v>
      </x:c>
      <x:c r="G25" s="21" t="str">
        <x:v>W2-AUTH-ARCHNET-QATTANIN-001</x:v>
      </x:c>
      <x:c r="H25" s="21" t="str">
        <x:v>ACCEPTED_FOR_CANDIDATE_EDITORIAL_BASELINE</x:v>
      </x:c>
      <x:c r="I25" s="21" t="str">
        <x:v>TRIAGED_NOT_FULLY_CLEARED</x:v>
      </x:c>
      <x:c r="J25" s="21" t="str">
        <x:v>BLOCKED</x:v>
      </x:c>
      <x:c r="K25" s="21" t="str">
        <x:v>BLOCKED</x:v>
      </x:c>
    </x:row>
    <x:row r="26">
      <x:c r="A26" s="21" t="str">
        <x:v>ED-025</x:v>
      </x:c>
      <x:c r="B26" s="21" t="str">
        <x:v>site-8d297f3c37a9-W2-C01</x:v>
      </x:c>
      <x:c r="C26" s="21" t="str">
        <x:v>site-8d297f3c37a9</x:v>
      </x:c>
      <x:c r="D26" s="21" t="str">
        <x:v>qbr-lsyd-mrym-mgr-ljsmny-8d297f</x:v>
      </x:c>
      <x:c r="E26" s="21" t="str">
        <x:v>قبر السيدة مريم (مغارة الجسمانية)</x:v>
      </x:c>
      <x:c r="F26" s="21" t="str">
        <x:v>تحافظ بطريركية الروم الأرثوذكس على التقليد الديني الحي الذي يعرّف مزار الجسمانية بوصفه قبر السيدة مريم.</x:v>
      </x:c>
      <x:c r="G26" s="21" t="str">
        <x:v>W2-AUTH-JERUSALEM-PATRIARCHATE-GETHSEMANE-001</x:v>
      </x:c>
      <x:c r="H26" s="21" t="str">
        <x:v>ACCEPTED_FOR_CANDIDATE_EDITORIAL_BASELINE</x:v>
      </x:c>
      <x:c r="I26" s="21" t="str">
        <x:v>TRIAGED_NOT_FULLY_CLEARED</x:v>
      </x:c>
      <x:c r="J26" s="21" t="str">
        <x:v>BLOCKED</x:v>
      </x:c>
      <x:c r="K26" s="21" t="str">
        <x:v>BLOCKED</x:v>
      </x:c>
    </x:row>
    <x:row r="27">
      <x:c r="A27" s="21" t="str">
        <x:v>ED-026</x:v>
      </x:c>
      <x:c r="B27" s="21" t="str">
        <x:v>site-8d297f3c37a9-W2-C02</x:v>
      </x:c>
      <x:c r="C27" s="21" t="str">
        <x:v>site-8d297f3c37a9</x:v>
      </x:c>
      <x:c r="D27" s="21" t="str">
        <x:v>qbr-lsyd-mrym-mgr-ljsmny-8d297f</x:v>
      </x:c>
      <x:c r="E27" s="21" t="str">
        <x:v>قبر السيدة مريم (مغارة الجسمانية)</x:v>
      </x:c>
      <x:c r="F27" s="21" t="str">
        <x:v>توثق منشورات مؤسسة الفرنسيسكان للدراسات الكتابية أعمال تنقيب أثرية في الجسمانية وقبر السيدة مريم.</x:v>
      </x:c>
      <x:c r="G27" s="21" t="str">
        <x:v>W2-AUTH-SBF-JERUSALEM-EXCAVATIONS-001</x:v>
      </x:c>
      <x:c r="H27" s="21" t="str">
        <x:v>ACCEPTED_FOR_CANDIDATE_EDITORIAL_BASELINE</x:v>
      </x:c>
      <x:c r="I27" s="21" t="str">
        <x:v>TRIAGED_NOT_FULLY_CLEARED</x:v>
      </x:c>
      <x:c r="J27" s="21" t="str">
        <x:v>BLOCKED</x:v>
      </x:c>
      <x:c r="K27" s="21" t="str">
        <x:v>BLOCKED</x:v>
      </x:c>
    </x:row>
    <x:row r="28">
      <x:c r="A28" s="21" t="str">
        <x:v>ED-027</x:v>
      </x:c>
      <x:c r="B28" s="21" t="str">
        <x:v>site-f7553f79288f-W2-C01</x:v>
      </x:c>
      <x:c r="C28" s="21" t="str">
        <x:v>site-f7553f79288f</x:v>
      </x:c>
      <x:c r="D28" s="21" t="str">
        <x:v>qswr-lmmlyk-shr-lwd-f7553f</x:v>
      </x:c>
      <x:c r="E28" s="21" t="str">
        <x:v>قصور المماليك (شارع الواد)</x:v>
      </x:c>
      <x:c r="F28" s="21" t="str">
        <x:v>يضم شارع الواد مؤسسات معمارية مملوكية بارزة، ويرتبط عمرانياً بسوق القطانين وبابه.</x:v>
      </x:c>
      <x:c r="G28" s="21" t="str">
        <x:v>W2-AUTH-ARCHNET-QATTANIN-001; W2-AUTH-UNESCO-JERUSALEM-MONITOR-2015</x:v>
      </x:c>
      <x:c r="H28" s="21" t="str">
        <x:v>ACCEPTED_FOR_CANDIDATE_EDITORIAL_BASELINE</x:v>
      </x:c>
      <x:c r="I28" s="21" t="str">
        <x:v>TRIAGED_NOT_FULLY_CLEARED</x:v>
      </x:c>
      <x:c r="J28" s="21" t="str">
        <x:v>BLOCKED</x:v>
      </x:c>
      <x:c r="K28" s="21" t="str">
        <x:v>BLOCKED</x:v>
      </x:c>
    </x:row>
    <x:row r="29">
      <x:c r="A29" s="21" t="str">
        <x:v>ED-028</x:v>
      </x:c>
      <x:c r="B29" s="21" t="str">
        <x:v>site-83d3025c4675-W2-C01</x:v>
      </x:c>
      <x:c r="C29" s="21" t="str">
        <x:v>site-83d3025c4675</x:v>
      </x:c>
      <x:c r="D29" s="21" t="str">
        <x:v>ql-lqds-brj-dwd-83d302</x:v>
      </x:c>
      <x:c r="E29" s="21" t="str">
        <x:v>قلعة القدس (برج داود)</x:v>
      </x:c>
      <x:c r="F29" s="21" t="str">
        <x:v>تتكون قلعة القدس الحالية من طبقات معمارية متعددة تشمل تحصينات رومانية وبناءً صليبياً وأيوبياً ومملوكياً وعثمانياً.</x:v>
      </x:c>
      <x:c r="G29" s="21" t="str">
        <x:v>W2-AUTH-ARCHNET-CITADEL-001</x:v>
      </x:c>
      <x:c r="H29" s="21" t="str">
        <x:v>ACCEPTED_FOR_CANDIDATE_EDITORIAL_BASELINE</x:v>
      </x:c>
      <x:c r="I29" s="21" t="str">
        <x:v>TRIAGED_NOT_FULLY_CLEARED</x:v>
      </x:c>
      <x:c r="J29" s="21" t="str">
        <x:v>BLOCKED</x:v>
      </x:c>
      <x:c r="K29" s="21" t="str">
        <x:v>BLOCKED</x:v>
      </x:c>
    </x:row>
    <x:row r="30">
      <x:c r="A30" s="21" t="str">
        <x:v>ED-029</x:v>
      </x:c>
      <x:c r="B30" s="21" t="str">
        <x:v>site-431ed266867b-W2-C01</x:v>
      </x:c>
      <x:c r="C30" s="21" t="str">
        <x:v>site-431ed266867b</x:v>
      </x:c>
      <x:c r="D30" s="21" t="str">
        <x:v>knys-lqym-431ed2</x:v>
      </x:c>
      <x:c r="E30" s="21" t="str">
        <x:v>كنيسة القيامة</x:v>
      </x:c>
      <x:c r="F30" s="21" t="str">
        <x:v>تعد كنيسة القيامة من المعالم الرئيسية في موقع القدس القديمة، وتربط اليونسكو قبة القيامة بقبر المسيح ضمن التقليد المسيحي.</x:v>
      </x:c>
      <x:c r="G30" s="21" t="str">
        <x:v>W2-AUTH-UNESCO-JERUSALEM-001</x:v>
      </x:c>
      <x:c r="H30" s="21" t="str">
        <x:v>ACCEPTED_FOR_CANDIDATE_EDITORIAL_BASELINE</x:v>
      </x:c>
      <x:c r="I30" s="21" t="str">
        <x:v>TRIAGED_NOT_FULLY_CLEARED</x:v>
      </x:c>
      <x:c r="J30" s="21" t="str">
        <x:v>BLOCKED</x:v>
      </x:c>
      <x:c r="K30" s="21" t="str">
        <x:v>BLOCKED</x:v>
      </x:c>
    </x:row>
    <x:row r="31">
      <x:c r="A31" s="21" t="str">
        <x:v>ED-030</x:v>
      </x:c>
      <x:c r="B31" s="21" t="str">
        <x:v>site-431ed266867b-W2-C02</x:v>
      </x:c>
      <x:c r="C31" s="21" t="str">
        <x:v>site-431ed266867b</x:v>
      </x:c>
      <x:c r="D31" s="21" t="str">
        <x:v>knys-lqym-431ed2</x:v>
      </x:c>
      <x:c r="E31" s="21" t="str">
        <x:v>كنيسة القيامة</x:v>
      </x:c>
      <x:c r="F31" s="21" t="str">
        <x:v>توثق مؤسسة الفرنسيسكان للدراسات الكتابية أعمال تنقيب أثرية في كنيسة القيامة.</x:v>
      </x:c>
      <x:c r="G31" s="21" t="str">
        <x:v>W2-AUTH-SBF-JERUSALEM-EXCAVATIONS-001</x:v>
      </x:c>
      <x:c r="H31" s="21" t="str">
        <x:v>ACCEPTED_FOR_CANDIDATE_EDITORIAL_BASELINE</x:v>
      </x:c>
      <x:c r="I31" s="21" t="str">
        <x:v>TRIAGED_NOT_FULLY_CLEARED</x:v>
      </x:c>
      <x:c r="J31" s="21" t="str">
        <x:v>BLOCKED</x:v>
      </x:c>
      <x:c r="K31" s="21" t="str">
        <x:v>BLOCKED</x:v>
      </x:c>
    </x:row>
    <x:row r="32">
      <x:c r="A32" s="21" t="str">
        <x:v>ED-031</x:v>
      </x:c>
      <x:c r="B32" s="21" t="str">
        <x:v>site-3a3d3669f0ba-W2-C01</x:v>
      </x:c>
      <x:c r="C32" s="21" t="str">
        <x:v>site-3a3d3669f0ba</x:v>
      </x:c>
      <x:c r="D32" s="21" t="str">
        <x:v>mqm-lnby-dwwd-jbl-shywn-3a3d36</x:v>
      </x:c>
      <x:c r="E32" s="21" t="str">
        <x:v>مقام النبي داوود (جبل صهيون)</x:v>
      </x:c>
      <x:c r="F32" s="21" t="str">
        <x:v>تنقل وثيقة مراقبة لليونسكو تقريراً أردنياً وفلسطينياً يصف مسجد النبي داوود بأنه عقار وقف إسلامي قرب السور الجنوبي للبلدة القديمة، ويتحدث عن تغييرات أُجريت في الموقع.</x:v>
      </x:c>
      <x:c r="G32" s="21" t="str">
        <x:v>W2-AUTH-UNESCO-JERUSALEM-MONITOR-2015</x:v>
      </x:c>
      <x:c r="H32" s="21" t="str">
        <x:v>ACCEPTED_FOR_CANDIDATE_EDITORIAL_BASELINE</x:v>
      </x:c>
      <x:c r="I32" s="21" t="str">
        <x:v>TRIAGED_NOT_FULLY_CLEARED</x:v>
      </x:c>
      <x:c r="J32" s="21" t="str">
        <x:v>BLOCKED</x:v>
      </x:c>
      <x:c r="K32" s="21" t="str">
        <x:v>BLOCKED</x:v>
      </x:c>
    </x:row>
    <x:row r="33">
      <x:c r="A33" s="21" t="str">
        <x:v>ED-032</x:v>
      </x:c>
      <x:c r="B33" s="21" t="str">
        <x:v>site-3a3d3669f0ba-W2-C02</x:v>
      </x:c>
      <x:c r="C33" s="21" t="str">
        <x:v>site-3a3d3669f0ba</x:v>
      </x:c>
      <x:c r="D33" s="21" t="str">
        <x:v>mqm-lnby-dwwd-jbl-shywn-3a3d36</x:v>
      </x:c>
      <x:c r="E33" s="21" t="str">
        <x:v>مقام النبي داوود (جبل صهيون)</x:v>
      </x:c>
      <x:c r="F33" s="21" t="str">
        <x:v>يظهر جبل صهيون ضمن السياق الجغرافي التاريخي والديني الأوسع في مقترح توسعة قدمته دولة طرف ثم أُرجئ النظر فيه.</x:v>
      </x:c>
      <x:c r="G33" s="21" t="str">
        <x:v>W2-AUTH-UNESCO-JERUSALEM-EXTENSION-001</x:v>
      </x:c>
      <x:c r="H33" s="21" t="str">
        <x:v>ACCEPTED_FOR_CANDIDATE_EDITORIAL_BASELINE</x:v>
      </x:c>
      <x:c r="I33" s="21" t="str">
        <x:v>TRIAGED_NOT_FULLY_CLEARED</x:v>
      </x:c>
      <x:c r="J33" s="21" t="str">
        <x:v>BLOCKED</x:v>
      </x:c>
      <x:c r="K33" s="21" t="str">
        <x:v>BLOCKED</x:v>
      </x:c>
    </x:row>
    <x:row r="34">
      <x:c r="A34" s="21" t="str">
        <x:v>ED-033</x:v>
      </x:c>
      <x:c r="B34" s="21" t="str">
        <x:v>site-63c0ba59c24e-W2-C01</x:v>
      </x:c>
      <x:c r="C34" s="21" t="str">
        <x:v>site-63c0ba59c24e</x:v>
      </x:c>
      <x:c r="D34" s="21" t="str">
        <x:v>tl-lrmyd-63c0ba</x:v>
      </x:c>
      <x:c r="E34" s="21" t="str">
        <x:v>تل الرميدة</x:v>
      </x:c>
      <x:c r="F34" s="21" t="str">
        <x:v>يدخل تل الرميدة ضمن السياق الأثري للمنطقة العازلة المحيطة ببلدة الخليل القديمة.</x:v>
      </x:c>
      <x:c r="G34" s="21" t="str">
        <x:v>W2-AUTH-UNESCO-HEBRON-001</x:v>
      </x:c>
      <x:c r="H34" s="21" t="str">
        <x:v>ACCEPTED_FOR_CANDIDATE_EDITORIAL_BASELINE</x:v>
      </x:c>
      <x:c r="I34" s="21" t="str">
        <x:v>TRIAGED_NOT_FULLY_CLEARED</x:v>
      </x:c>
      <x:c r="J34" s="21" t="str">
        <x:v>BLOCKED</x:v>
      </x:c>
      <x:c r="K34" s="21" t="str">
        <x:v>BLOCKED</x:v>
      </x:c>
    </x:row>
    <x:row r="35">
      <x:c r="A35" s="21" t="str">
        <x:v>ED-034</x:v>
      </x:c>
      <x:c r="B35" s="21" t="str">
        <x:v>site-63c0ba59c24e-W2-C02</x:v>
      </x:c>
      <x:c r="C35" s="21" t="str">
        <x:v>site-63c0ba59c24e</x:v>
      </x:c>
      <x:c r="D35" s="21" t="str">
        <x:v>tl-lrmyd-63c0ba</x:v>
      </x:c>
      <x:c r="E35" s="21" t="str">
        <x:v>تل الرميدة</x:v>
      </x:c>
      <x:c r="F35" s="21" t="str">
        <x:v>وثقت إيكوموس استبعاد تل الرميدة من حدود العقار المرشح أصلاً، وناقشت دلائل على استيطان أقدم في محيطه.</x:v>
      </x:c>
      <x:c r="G35" s="21" t="str">
        <x:v>W2-AUTH-ICOMOS-HEBRON-2017</x:v>
      </x:c>
      <x:c r="H35" s="21" t="str">
        <x:v>ACCEPTED_FOR_CANDIDATE_EDITORIAL_BASELINE</x:v>
      </x:c>
      <x:c r="I35" s="21" t="str">
        <x:v>TRIAGED_NOT_FULLY_CLEARED</x:v>
      </x:c>
      <x:c r="J35" s="21" t="str">
        <x:v>BLOCKED</x:v>
      </x:c>
      <x:c r="K35" s="21" t="str">
        <x:v>BLOCKED</x:v>
      </x:c>
    </x:row>
    <x:row r="36">
      <x:c r="A36" s="21" t="str">
        <x:v>ED-035</x:v>
      </x:c>
      <x:c r="B36" s="21" t="str">
        <x:v>site-cd3be04163b6-W2-C01</x:v>
      </x:c>
      <x:c r="C36" s="21" t="str">
        <x:v>site-cd3be04163b6</x:v>
      </x:c>
      <x:c r="D36" s="21" t="str">
        <x:v>hlhwl-mqm-lnby-ywns-cd3be0</x:v>
      </x:c>
      <x:c r="E36" s="21" t="str">
        <x:v>حلحول (مقام النبي يونس)</x:v>
      </x:c>
      <x:c r="F36" s="21" t="str">
        <x:v>يقع مسجد ومقام النبي يونس في البلدة القديمة بحلحول، ويؤرخ السجل المعماري المبنى بسنة 623هـ/1226م، وينسب رعايته إلى العصر الأيوبي مع تسجيل تجديدات مملوكية لاحقة.</x:v>
      </x:c>
      <x:c r="G36" s="21" t="str">
        <x:v>W2-AUTH-MWNF-NABI-YUNUS-001</x:v>
      </x:c>
      <x:c r="H36" s="21" t="str">
        <x:v>ACCEPTED_FOR_CANDIDATE_EDITORIAL_BASELINE</x:v>
      </x:c>
      <x:c r="I36" s="21" t="str">
        <x:v>TRIAGED_NOT_FULLY_CLEARED</x:v>
      </x:c>
      <x:c r="J36" s="21" t="str">
        <x:v>BLOCKED</x:v>
      </x:c>
      <x:c r="K36" s="21" t="str">
        <x:v>BLOCKED</x:v>
      </x:c>
    </x:row>
    <x:row r="37">
      <x:c r="A37" s="21" t="str">
        <x:v>ED-036</x:v>
      </x:c>
      <x:c r="B37" s="21" t="str">
        <x:v>site-c9ac723c0271-W2-C01</x:v>
      </x:c>
      <x:c r="C37" s="21" t="str">
        <x:v>site-c9ac723c0271</x:v>
      </x:c>
      <x:c r="D37" s="21" t="str">
        <x:v>khrb-lnby-nwh-c9ac72</x:v>
      </x:c>
      <x:c r="E37" s="21" t="str">
        <x:v>خربة النبي نوح</x:v>
      </x:c>
      <x:c r="F37" s="21" t="str">
        <x:v>توثق وكالة وفا وجود مقام النبي نوح في دورا بوصفه معلماً دينياً وتاريخياً محلياً، كما تسجل أعمال ترميم واستخداماً خيرياً للموقع حتى سنة 2020.</x:v>
      </x:c>
      <x:c r="G37" s="21" t="str">
        <x:v>W2-AUTH-WAFA-NABI-NUH-2020</x:v>
      </x:c>
      <x:c r="H37" s="21" t="str">
        <x:v>ACCEPTED_FOR_CANDIDATE_EDITORIAL_BASELINE</x:v>
      </x:c>
      <x:c r="I37" s="21" t="str">
        <x:v>TRIAGED_NOT_FULLY_CLEARED</x:v>
      </x:c>
      <x:c r="J37" s="21" t="str">
        <x:v>BLOCKED</x:v>
      </x:c>
      <x:c r="K37" s="21" t="str">
        <x:v>BLOCKED</x:v>
      </x:c>
    </x:row>
    <x:row r="38">
      <x:c r="A38" s="21" t="str">
        <x:v>ED-037</x:v>
      </x:c>
      <x:c r="B38" s="21" t="str">
        <x:v>site-0dc57168d963-W2-C01</x:v>
      </x:c>
      <x:c r="C38" s="21" t="str">
        <x:v>site-0dc57168d963</x:v>
      </x:c>
      <x:c r="D38" s="21" t="str">
        <x:v>mgr-lbtrk-jz-mn-lhrm-0dc571</x:v>
      </x:c>
      <x:c r="E38" s="21" t="str">
        <x:v>مغارة البطاركة (جزء من الحرم)</x:v>
      </x:c>
      <x:c r="F38" s="21" t="str">
        <x:v>تحدد اليونسكو مغارة البطاركة/الغار الشريف مكوّناً داخل مجمع الحرم الإبراهيمي، وتعرض نسب الدفن المرتبطة بها ضمن إطار التقاليد الدينية.</x:v>
      </x:c>
      <x:c r="G38" s="21" t="str">
        <x:v>W2-AUTH-UNESCO-HEBRON-001</x:v>
      </x:c>
      <x:c r="H38" s="21" t="str">
        <x:v>ACCEPTED_FOR_CANDIDATE_EDITORIAL_BASELINE</x:v>
      </x:c>
      <x:c r="I38" s="21" t="str">
        <x:v>TRIAGED_NOT_FULLY_CLEARED</x:v>
      </x:c>
      <x:c r="J38" s="21" t="str">
        <x:v>BLOCKED</x:v>
      </x:c>
      <x:c r="K38" s="21" t="str">
        <x:v>BLOCKED</x:v>
      </x:c>
    </x:row>
    <x:row r="39">
      <x:c r="A39" s="21" t="str">
        <x:v>ED-038</x:v>
      </x:c>
      <x:c r="B39" s="21" t="str">
        <x:v>site-7532d020842e-W2-C01</x:v>
      </x:c>
      <x:c r="C39" s="21" t="str">
        <x:v>site-7532d020842e</x:v>
      </x:c>
      <x:c r="D39" s="21" t="str">
        <x:v>mqm-lshykh-ly-lbk-7532d0</x:v>
      </x:c>
      <x:c r="E39" s="21" t="str">
        <x:v>مقام الشيخ علي البكاء</x:v>
      </x:c>
      <x:c r="F39" s="21" t="str">
        <x:v>تناقش إيكوموس منطقة الشيخ علي البكاء بوصفها منطقة مستبعدة تؤثر في سلامة بلدة الخليل القديمة وفي فهم أنماط شوارعها الأقدم.</x:v>
      </x:c>
      <x:c r="G39" s="21" t="str">
        <x:v>W2-AUTH-ICOMOS-HEBRON-2017</x:v>
      </x:c>
      <x:c r="H39" s="21" t="str">
        <x:v>ACCEPTED_FOR_CANDIDATE_EDITORIAL_BASELINE</x:v>
      </x:c>
      <x:c r="I39" s="21" t="str">
        <x:v>TRIAGED_NOT_FULLY_CLEARED</x:v>
      </x:c>
      <x:c r="J39" s="21" t="str">
        <x:v>BLOCKED</x:v>
      </x:c>
      <x:c r="K39" s="21" t="str">
        <x:v>BLOCKED</x:v>
      </x:c>
    </x:row>
    <x:row r="40">
      <x:c r="A40" s="21" t="str">
        <x:v>ED-039</x:v>
      </x:c>
      <x:c r="B40" s="21" t="str">
        <x:v>site-37c8be50ce73-W2-C01</x:v>
      </x:c>
      <x:c r="C40" s="21" t="str">
        <x:v>site-37c8be50ce73</x:v>
      </x:c>
      <x:c r="D40" s="21" t="str">
        <x:v>brk-slymn-37c8be</x:v>
      </x:c>
      <x:c r="E40" s="21" t="str">
        <x:v>برك سليمان</x:v>
      </x:c>
      <x:c r="F40" s="21" t="str">
        <x:v>يوثق مشروع الترميم ثلاث برك تاريخية وقلعة مراد العثمانية، ويذكر اكتمال المشروع سنة 2012 باستخدام تدخلات مميزة وقابلة للعكس.</x:v>
      </x:c>
      <x:c r="G40" s="21" t="str">
        <x:v>W2-AUTH-ARCHNET-SOLOMON-POOLS-001</x:v>
      </x:c>
      <x:c r="H40" s="21" t="str">
        <x:v>ACCEPTED_FOR_CANDIDATE_EDITORIAL_BASELINE</x:v>
      </x:c>
      <x:c r="I40" s="21" t="str">
        <x:v>TRIAGED_NOT_FULLY_CLEARED</x:v>
      </x:c>
      <x:c r="J40" s="21" t="str">
        <x:v>BLOCKED</x:v>
      </x:c>
      <x:c r="K40" s="21" t="str">
        <x:v>BLOCKED</x:v>
      </x:c>
    </x:row>
    <x:row r="41">
      <x:c r="A41" s="21" t="str">
        <x:v>ED-041</x:v>
      </x:c>
      <x:c r="B41" s="21" t="str">
        <x:v>site-a8aeb054b451-W2-C01</x:v>
      </x:c>
      <x:c r="C41" s="21" t="str">
        <x:v>site-a8aeb054b451</x:v>
      </x:c>
      <x:c r="D41" s="21" t="str">
        <x:v>dyr-mr-sb-a8aeb0</x:v>
      </x:c>
      <x:c r="E41" s="21" t="str">
        <x:v>دير مار سابا</x:v>
      </x:c>
      <x:c r="F41" s="21" t="str">
        <x:v>يضع التاريخ المؤسسي للبطريركية نشأة لافرا القديس سابا قرابة سنة 483م، ويصف استمرار النشاط الرهباني فيها عبر فترات طويلة.</x:v>
      </x:c>
      <x:c r="G41" s="21" t="str">
        <x:v>W2-AUTH-JERUSALEM-PATRIARCHATE-MAR-SABA-001</x:v>
      </x:c>
      <x:c r="H41" s="21" t="str">
        <x:v>ACCEPTED_FOR_CANDIDATE_EDITORIAL_BASELINE</x:v>
      </x:c>
      <x:c r="I41" s="21" t="str">
        <x:v>TRIAGED_NOT_FULLY_CLEARED</x:v>
      </x:c>
      <x:c r="J41" s="21" t="str">
        <x:v>BLOCKED</x:v>
      </x:c>
      <x:c r="K41" s="21" t="str">
        <x:v>BLOCKED</x:v>
      </x:c>
    </x:row>
    <x:row r="42">
      <x:c r="A42" s="21" t="str">
        <x:v>ED-042</x:v>
      </x:c>
      <x:c r="B42" s="21" t="str">
        <x:v>site-133155518939-W2-C01</x:v>
      </x:c>
      <x:c r="C42" s="21" t="str">
        <x:v>site-133155518939</x:v>
      </x:c>
      <x:c r="D42" s="21" t="str">
        <x:v>qsr-hyrwdywn-133155</x:v>
      </x:c>
      <x:c r="E42" s="21" t="str">
        <x:v>قصر هيروديون</x:v>
      </x:c>
      <x:c r="F42" s="21" t="str">
        <x:v>توجد مجموعة واسعة من تقارير الحفريات المنشورة عن هيروديون، تشمل تقرير كوربو عن القصر-الحصن وتقارير نهائية لاحقة لحفريات 1972–2010.</x:v>
      </x:c>
      <x:c r="G42" s="21" t="str">
        <x:v>W2-AUTH-SBF-HERODIUM-BIBLIOGRAPHY-001</x:v>
      </x:c>
      <x:c r="H42" s="21" t="str">
        <x:v>ACCEPTED_FOR_CANDIDATE_EDITORIAL_BASELINE</x:v>
      </x:c>
      <x:c r="I42" s="21" t="str">
        <x:v>TRIAGED_NOT_FULLY_CLEARED</x:v>
      </x:c>
      <x:c r="J42" s="21" t="str">
        <x:v>BLOCKED</x:v>
      </x:c>
      <x:c r="K42" s="21" t="str">
        <x:v>BLOCKED</x:v>
      </x:c>
    </x:row>
    <x:row r="43">
      <x:c r="A43" s="21" t="str">
        <x:v>ED-043</x:v>
      </x:c>
      <x:c r="B43" s="21" t="str">
        <x:v>site-133155518939-W2-C02</x:v>
      </x:c>
      <x:c r="C43" s="21" t="str">
        <x:v>site-133155518939</x:v>
      </x:c>
      <x:c r="D43" s="21" t="str">
        <x:v>qsr-hyrwdywn-133155</x:v>
      </x:c>
      <x:c r="E43" s="21" t="str">
        <x:v>قصر هيروديون</x:v>
      </x:c>
      <x:c r="F43" s="21" t="str">
        <x:v>تتناول فصول أكاديمية منشورة الكنائس البيزنطية والنقوش اليونانية في هيروديون.</x:v>
      </x:c>
      <x:c r="G43" s="21" t="str">
        <x:v>W2-AUTH-SBF-HERODIUM-CHRISTIAN-001</x:v>
      </x:c>
      <x:c r="H43" s="21" t="str">
        <x:v>ACCEPTED_FOR_CANDIDATE_EDITORIAL_BASELINE</x:v>
      </x:c>
      <x:c r="I43" s="21" t="str">
        <x:v>TRIAGED_NOT_FULLY_CLEARED</x:v>
      </x:c>
      <x:c r="J43" s="21" t="str">
        <x:v>BLOCKED</x:v>
      </x:c>
      <x:c r="K43" s="21" t="str">
        <x:v>BLOCKED</x:v>
      </x:c>
    </x:row>
    <x:row r="44">
      <x:c r="A44" s="21" t="str">
        <x:v>ED-044</x:v>
      </x:c>
      <x:c r="B44" s="21" t="str">
        <x:v>site-63fe9eba7871-W2-C01</x:v>
      </x:c>
      <x:c r="C44" s="21" t="str">
        <x:v>site-63fe9eba7871</x:v>
      </x:c>
      <x:c r="D44" s="21" t="str">
        <x:v>ql-lbrk-63fe9e</x:v>
      </x:c>
      <x:c r="E44" s="21" t="str">
        <x:v>قلعة البرك</x:v>
      </x:c>
      <x:c r="F44" s="21" t="str">
        <x:v>يعرف سجل الترميم قلعة مراد العثمانية بوصفها مكوّناً من مجمع برك سليمان التاريخي.</x:v>
      </x:c>
      <x:c r="G44" s="21" t="str">
        <x:v>W2-AUTH-ARCHNET-SOLOMON-POOLS-001</x:v>
      </x:c>
      <x:c r="H44" s="21" t="str">
        <x:v>ACCEPTED_FOR_CANDIDATE_EDITORIAL_BASELINE</x:v>
      </x:c>
      <x:c r="I44" s="21" t="str">
        <x:v>TRIAGED_NOT_FULLY_CLEARED</x:v>
      </x:c>
      <x:c r="J44" s="21" t="str">
        <x:v>BLOCKED</x:v>
      </x:c>
      <x:c r="K44" s="21" t="str">
        <x:v>BLOCKED</x:v>
      </x:c>
    </x:row>
    <x:row r="45">
      <x:c r="A45" s="21" t="str">
        <x:v>ED-045</x:v>
      </x:c>
      <x:c r="B45" s="21" t="str">
        <x:v>site-57adc62d6d70-W2-C01</x:v>
      </x:c>
      <x:c r="C45" s="21" t="str">
        <x:v>site-57adc62d6d70</x:v>
      </x:c>
      <x:c r="D45" s="21" t="str">
        <x:v>mgr-lhlyb-57adc6</x:v>
      </x:c>
      <x:c r="E45" s="21" t="str">
        <x:v>مغارة الحليب</x:v>
      </x:c>
      <x:c r="F45" s="21" t="str">
        <x:v>مغارة الحليب مزار محلي قرب كنيسة المهد، وترتبط بتقاليد عبادة حية لدى نساء مسيحيات ومسلمات.</x:v>
      </x:c>
      <x:c r="G45" s="21" t="str">
        <x:v>W2-AUTH-SBF-MILK-GROTTO-001</x:v>
      </x:c>
      <x:c r="H45" s="21" t="str">
        <x:v>ACCEPTED_FOR_CANDIDATE_EDITORIAL_BASELINE</x:v>
      </x:c>
      <x:c r="I45" s="21" t="str">
        <x:v>TRIAGED_NOT_FULLY_CLEARED</x:v>
      </x:c>
      <x:c r="J45" s="21" t="str">
        <x:v>BLOCKED</x:v>
      </x:c>
      <x:c r="K45" s="21" t="str">
        <x:v>BLOCKED</x:v>
      </x:c>
    </x:row>
    <x:row r="46">
      <x:c r="A46" s="21" t="str">
        <x:v>ED-046</x:v>
      </x:c>
      <x:c r="B46" s="21" t="str">
        <x:v>site-57adc62d6d70-W2-C02</x:v>
      </x:c>
      <x:c r="C46" s="21" t="str">
        <x:v>site-57adc62d6d70</x:v>
      </x:c>
      <x:c r="D46" s="21" t="str">
        <x:v>mgr-lhlyb-57adc6</x:v>
      </x:c>
      <x:c r="E46" s="21" t="str">
        <x:v>مغارة الحليب</x:v>
      </x:c>
      <x:c r="F46" s="21" t="str">
        <x:v>توثق مؤسسة الفرنسيسكان للدراسات الكتابية تنقيباً أثرياً إسعافياً في المزار خلال أكتوبر 2005.</x:v>
      </x:c>
      <x:c r="G46" s="21" t="str">
        <x:v>W2-AUTH-SBF-MILK-GROTTO-EXCAVATION-2005</x:v>
      </x:c>
      <x:c r="H46" s="21" t="str">
        <x:v>ACCEPTED_FOR_CANDIDATE_EDITORIAL_BASELINE</x:v>
      </x:c>
      <x:c r="I46" s="21" t="str">
        <x:v>TRIAGED_NOT_FULLY_CLEARED</x:v>
      </x:c>
      <x:c r="J46" s="21" t="str">
        <x:v>BLOCKED</x:v>
      </x:c>
      <x:c r="K46" s="21" t="str">
        <x:v>BLOCKED</x:v>
      </x:c>
    </x:row>
    <x:row r="47">
      <x:c r="A47" s="21" t="str">
        <x:v>ED-047</x:v>
      </x:c>
      <x:c r="B47" s="21" t="str">
        <x:v>site-2e45744cdab4-W3-C01</x:v>
      </x:c>
      <x:c r="C47" s="21" t="str">
        <x:v>site-2e45744cdab4</x:v>
      </x:c>
      <x:c r="D47" s="21" t="str">
        <x:v>lmsjd-l-mry-lkbyr-2e4574</x:v>
      </x:c>
      <x:c r="E47" s="21" t="str">
        <x:v>المسجد العمري الكبير</x:v>
      </x:c>
      <x:c r="F47" s="21" t="str">
        <x:v>بحسب قائمة اليونسكو المحدثة في 25 مارس 2026، كان المسجد العمري الكبير من الممتلكات الثقافية في غزة التي تحققت المنظمة من تعرضها للضرر حتى 24 مارس 2026؛ ولا يحدد هذا الإدراج وحده درجة الضرر الهندسية.</x:v>
      </x:c>
      <x:c r="G47" s="21" t="str">
        <x:v>W3-AUTH-UNESCO-GAZA-IMPACT-2026</x:v>
      </x:c>
      <x:c r="H47" s="21" t="str">
        <x:v>ACCEPTED_AFTER_MANDATORY_TEMPORAL_REVISION</x:v>
      </x:c>
      <x:c r="I47" s="21" t="str">
        <x:v>TRIAGED_NOT_FULLY_CLEARED</x:v>
      </x:c>
      <x:c r="J47" s="21" t="str">
        <x:v>BLOCKED</x:v>
      </x:c>
      <x:c r="K47" s="21" t="str">
        <x:v>BLOCKED</x:v>
      </x:c>
    </x:row>
    <x:row r="48">
      <x:c r="A48" s="21" t="str">
        <x:v>ED-048</x:v>
      </x:c>
      <x:c r="B48" s="21" t="str">
        <x:v>site-2e45744cdab4-W3-C02</x:v>
      </x:c>
      <x:c r="C48" s="21" t="str">
        <x:v>site-2e45744cdab4</x:v>
      </x:c>
      <x:c r="D48" s="21" t="str">
        <x:v>lmsjd-l-mry-lkbyr-2e4574</x:v>
      </x:c>
      <x:c r="E48" s="21" t="str">
        <x:v>المسجد العمري الكبير</x:v>
      </x:c>
      <x:c r="F48" s="21" t="str">
        <x:v>يعرف ملف دولة فلسطين المقدم سنة 2026 المسجد بوصفه المسجد الجامع المركزي في غزة التاريخية، ويصف توسعات مملوكية وعثمانية في معلم متعدد الطبقات.</x:v>
      </x:c>
      <x:c r="G48" s="21" t="str">
        <x:v>W3-AUTH-UNESCO-GAZA-HISTORIC-CENTRE-2026</x:v>
      </x:c>
      <x:c r="H48" s="21" t="str">
        <x:v>ACCEPTED_FOR_CANDIDATE_EDITORIAL_BASELINE</x:v>
      </x:c>
      <x:c r="I48" s="21" t="str">
        <x:v>TRIAGED_NOT_FULLY_CLEARED</x:v>
      </x:c>
      <x:c r="J48" s="21" t="str">
        <x:v>BLOCKED</x:v>
      </x:c>
      <x:c r="K48" s="21" t="str">
        <x:v>BLOCKED</x:v>
      </x:c>
    </x:row>
    <x:row r="49">
      <x:c r="A49" s="21" t="str">
        <x:v>ED-049</x:v>
      </x:c>
      <x:c r="B49" s="21" t="str">
        <x:v>site-21150eefdea6-W3-C01</x:v>
      </x:c>
      <x:c r="C49" s="21" t="str">
        <x:v>site-21150eefdea6</x:v>
      </x:c>
      <x:c r="D49" s="21" t="str">
        <x:v>tl-l-jwl-mdyn-gz-lqdym-21150e</x:v>
      </x:c>
      <x:c r="E49" s="21" t="str">
        <x:v>تل العجول</x:v>
      </x:c>
      <x:c r="F49" s="21" t="str">
        <x:v>بحسب قائمة اليونسكو المحدثة في 25 مارس 2026، كان تل العجول من المواقع الأثرية في غزة التي تحققت المنظمة من تعرضها للضرر حتى 24 مارس 2026؛ ولا يحدد ذلك وحده حدود الضرر أو شدته.</x:v>
      </x:c>
      <x:c r="G49" s="21" t="str">
        <x:v>W3-AUTH-UNESCO-GAZA-IMPACT-2026</x:v>
      </x:c>
      <x:c r="H49" s="21" t="str">
        <x:v>ACCEPTED_AFTER_MANDATORY_TEMPORAL_REVISION</x:v>
      </x:c>
      <x:c r="I49" s="21" t="str">
        <x:v>TRIAGED_NOT_FULLY_CLEARED</x:v>
      </x:c>
      <x:c r="J49" s="21" t="str">
        <x:v>BLOCKED</x:v>
      </x:c>
      <x:c r="K49" s="21" t="str">
        <x:v>BLOCKED</x:v>
      </x:c>
    </x:row>
    <x:row r="50">
      <x:c r="A50" s="21" t="str">
        <x:v>ED-050</x:v>
      </x:c>
      <x:c r="B50" s="21" t="str">
        <x:v>site-21150eefdea6-W3-C02</x:v>
      </x:c>
      <x:c r="C50" s="21" t="str">
        <x:v>site-21150eefdea6</x:v>
      </x:c>
      <x:c r="D50" s="21" t="str">
        <x:v>tl-l-jwl-mdyn-gz-lqdym-21150e</x:v>
      </x:c>
      <x:c r="E50" s="21" t="str">
        <x:v>تل العجول</x:v>
      </x:c>
      <x:c r="F50" s="21" t="str">
        <x:v>تحدد السجلات الأكاديمية والمتحفية تل العجول موقعاً أثرياً مستقلاً من العصر البرونزي جنوب مدينة غزة الحديثة، وتوثق مواد من العصرين البرونزي الأوسط والمتأخر.</x:v>
      </x:c>
      <x:c r="G50" s="21" t="str">
        <x:v>W3-AUTH-UCL-TELL-AJJUL-2021; W3-AUTH-BM-TELL-AJJUL-COLLECTION</x:v>
      </x:c>
      <x:c r="H50" s="21" t="str">
        <x:v>ACCEPTED_FOR_CANDIDATE_EDITORIAL_BASELINE</x:v>
      </x:c>
      <x:c r="I50" s="21" t="str">
        <x:v>TRIAGED_NOT_FULLY_CLEARED</x:v>
      </x:c>
      <x:c r="J50" s="21" t="str">
        <x:v>BLOCKED</x:v>
      </x:c>
      <x:c r="K50" s="21" t="str">
        <x:v>BLOCKED</x:v>
      </x:c>
    </x:row>
    <x:row r="51">
      <x:c r="A51" s="21" t="str">
        <x:v>ED-051</x:v>
      </x:c>
      <x:c r="B51" s="21" t="str">
        <x:v>site-3ded44be126d-W3-C01</x:v>
      </x:c>
      <x:c r="C51" s="21" t="str">
        <x:v>site-3ded44be126d</x:v>
      </x:c>
      <x:c r="D51" s="21" t="str">
        <x:v>hmm-lsmr-3ded44</x:v>
      </x:c>
      <x:c r="E51" s="21" t="str">
        <x:v>حمام السمرة</x:v>
      </x:c>
      <x:c r="F51" s="21" t="str">
        <x:v>بحسب قائمة اليونسكو المحدثة في 25 مارس 2026، كان حمام السمرة من المواقع التراثية في غزة التي تحققت المنظمة من تعرضها للضرر حتى 24 مارس 2026؛ ولا يمثل هذا تقييماً إنشائياً تفصيلياً.</x:v>
      </x:c>
      <x:c r="G51" s="21" t="str">
        <x:v>W3-AUTH-UNESCO-GAZA-IMPACT-2026</x:v>
      </x:c>
      <x:c r="H51" s="21" t="str">
        <x:v>ACCEPTED_AFTER_MANDATORY_TEMPORAL_REVISION</x:v>
      </x:c>
      <x:c r="I51" s="21" t="str">
        <x:v>TRIAGED_NOT_FULLY_CLEARED</x:v>
      </x:c>
      <x:c r="J51" s="21" t="str">
        <x:v>BLOCKED</x:v>
      </x:c>
      <x:c r="K51" s="21" t="str">
        <x:v>BLOCKED</x:v>
      </x:c>
    </x:row>
    <x:row r="52">
      <x:c r="A52" s="21" t="str">
        <x:v>ED-052</x:v>
      </x:c>
      <x:c r="B52" s="21" t="str">
        <x:v>site-3ded44be126d-W3-C02</x:v>
      </x:c>
      <x:c r="C52" s="21" t="str">
        <x:v>site-3ded44be126d</x:v>
      </x:c>
      <x:c r="D52" s="21" t="str">
        <x:v>hmm-lsmr-3ded44</x:v>
      </x:c>
      <x:c r="E52" s="21" t="str">
        <x:v>حمام السمرة</x:v>
      </x:c>
      <x:c r="F52" s="21" t="str">
        <x:v>أفاد تقرير فلسطيني مستضاف على موقع اليونسكو بأن حمام السمرة دُمر بالكامل في 30 ديسمبر 2023، ووصفه بأنه آخر حمام تاريخي باقٍ في غزة؛ وتبقى هذه الصياغة منسوبة إلى الجهة مقدمة التقرير.</x:v>
      </x:c>
      <x:c r="G52" s="21" t="str">
        <x:v>W3-AUTH-UNESCO-PALESTINE-CULTURAL-REPORT-2023</x:v>
      </x:c>
      <x:c r="H52" s="21" t="str">
        <x:v>ACCEPTED_FOR_CANDIDATE_EDITORIAL_BASELINE</x:v>
      </x:c>
      <x:c r="I52" s="21" t="str">
        <x:v>TRIAGED_NOT_FULLY_CLEARED</x:v>
      </x:c>
      <x:c r="J52" s="21" t="str">
        <x:v>BLOCKED</x:v>
      </x:c>
      <x:c r="K52" s="21" t="str">
        <x:v>BLOCKED</x:v>
      </x:c>
    </x:row>
    <x:row r="53">
      <x:c r="A53" s="21" t="str">
        <x:v>ED-053</x:v>
      </x:c>
      <x:c r="B53" s="21" t="str">
        <x:v>site-5e98cf44d976-W3-C01</x:v>
      </x:c>
      <x:c r="C53" s="21" t="str">
        <x:v>site-5e98cf44d976</x:v>
      </x:c>
      <x:c r="D53" s="21" t="str">
        <x:v>ql-brqwq-5e98cf</x:v>
      </x:c>
      <x:c r="E53" s="21" t="str">
        <x:v>قلعة برقوق</x:v>
      </x:c>
      <x:c r="F53" s="21" t="str">
        <x:v>بحسب قائمة اليونسكو المحدثة في 25 مارس 2026، كانت قلعة برقوق في خان يونس من المواقع التي تحققت المنظمة من تعرضها للضرر حتى 24 مارس 2026؛ وتبقى السلامة الإنشائية بحاجة إلى مسح ميداني.</x:v>
      </x:c>
      <x:c r="G53" s="21" t="str">
        <x:v>W3-AUTH-UNESCO-GAZA-IMPACT-2026</x:v>
      </x:c>
      <x:c r="H53" s="21" t="str">
        <x:v>ACCEPTED_AFTER_MANDATORY_TEMPORAL_REVISION</x:v>
      </x:c>
      <x:c r="I53" s="21" t="str">
        <x:v>TRIAGED_NOT_FULLY_CLEARED</x:v>
      </x:c>
      <x:c r="J53" s="21" t="str">
        <x:v>BLOCKED</x:v>
      </x:c>
      <x:c r="K53" s="21" t="str">
        <x:v>BLOCKED</x:v>
      </x:c>
    </x:row>
    <x:row r="54">
      <x:c r="A54" s="21" t="str">
        <x:v>ED-054</x:v>
      </x:c>
      <x:c r="B54" s="21" t="str">
        <x:v>site-5e98cf44d976-W3-C02</x:v>
      </x:c>
      <x:c r="C54" s="21" t="str">
        <x:v>site-5e98cf44d976</x:v>
      </x:c>
      <x:c r="D54" s="21" t="str">
        <x:v>ql-brqwq-5e98cf</x:v>
      </x:c>
      <x:c r="E54" s="21" t="str">
        <x:v>قلعة برقوق</x:v>
      </x:c>
      <x:c r="F54" s="21" t="str">
        <x:v>ينسب تقرير فلسطيني مستضاف على موقع اليونسكو القلعة إلى سنة 1387 في عهد السلطان برقوق، ويصف وظيفتها على طريق القوافل وواجهة باقية منها؛ وتبقى هذه المعلومات منسوبة إلى التقرير.</x:v>
      </x:c>
      <x:c r="G54" s="21" t="str">
        <x:v>W3-AUTH-UNESCO-PALESTINE-CULTURAL-REPORT-2023</x:v>
      </x:c>
      <x:c r="H54" s="21" t="str">
        <x:v>ACCEPTED_FOR_CANDIDATE_EDITORIAL_BASELINE</x:v>
      </x:c>
      <x:c r="I54" s="21" t="str">
        <x:v>TRIAGED_NOT_FULLY_CLEARED</x:v>
      </x:c>
      <x:c r="J54" s="21" t="str">
        <x:v>BLOCKED</x:v>
      </x:c>
      <x:c r="K54" s="21" t="str">
        <x:v>BLOCKED</x:v>
      </x:c>
    </x:row>
    <x:row r="55">
      <x:c r="A55" s="21" t="str">
        <x:v>ED-055</x:v>
      </x:c>
      <x:c r="B55" s="21" t="str">
        <x:v>site-e1e3de7b8519-W3-C01</x:v>
      </x:c>
      <x:c r="C55" s="21" t="str">
        <x:v>site-e1e3de7b8519</x:v>
      </x:c>
      <x:c r="D55" s="21" t="str">
        <x:v>knys-lqdys-brfyryws-e1e3de</x:v>
      </x:c>
      <x:c r="E55" s="21" t="str">
        <x:v>كنيسة القديس برفيريوس</x:v>
      </x:c>
      <x:c r="F55" s="21" t="str">
        <x:v>بحسب قائمة اليونسكو المحدثة في 25 مارس 2026، كان مجمع كنيسة القديس برفيريوس الأرثوذكسية من الممتلكات التراثية في غزة التي تحققت المنظمة من تعرضها للضرر حتى 24 مارس 2026؛ ولا يحسم ذلك الوضع الإنشائي الحالي.</x:v>
      </x:c>
      <x:c r="G55" s="21" t="str">
        <x:v>W3-AUTH-UNESCO-GAZA-IMPACT-2026</x:v>
      </x:c>
      <x:c r="H55" s="21" t="str">
        <x:v>ACCEPTED_AFTER_MANDATORY_TEMPORAL_REVISION</x:v>
      </x:c>
      <x:c r="I55" s="21" t="str">
        <x:v>TRIAGED_NOT_FULLY_CLEARED</x:v>
      </x:c>
      <x:c r="J55" s="21" t="str">
        <x:v>BLOCKED</x:v>
      </x:c>
      <x:c r="K55" s="21" t="str">
        <x:v>BLOCKED</x:v>
      </x:c>
    </x:row>
    <x:row r="56">
      <x:c r="A56" s="21" t="str">
        <x:v>ED-056</x:v>
      </x:c>
      <x:c r="B56" s="21" t="str">
        <x:v>site-e1e3de7b8519-W3-C02</x:v>
      </x:c>
      <x:c r="C56" s="21" t="str">
        <x:v>site-e1e3de7b8519</x:v>
      </x:c>
      <x:c r="D56" s="21" t="str">
        <x:v>knys-lqdys-brfyryws-e1e3de</x:v>
      </x:c>
      <x:c r="E56" s="21" t="str">
        <x:v>كنيسة القديس برفيريوس</x:v>
      </x:c>
      <x:c r="F56" s="21" t="str">
        <x:v>يصف ملف دولة فلسطين كنيسة من أوائل القرن الخامس ظلت مزاراً مستخدماً، بينما تؤكد بطريركية القدس الهوية الكنسية الحية لدير غزة.</x:v>
      </x:c>
      <x:c r="G56" s="21" t="str">
        <x:v>W3-AUTH-UNESCO-GAZA-HISTORIC-CENTRE-2026; W3-AUTH-JERUSALEM-PATRIARCHATE-PORPHYRIOS</x:v>
      </x:c>
      <x:c r="H56" s="21" t="str">
        <x:v>ACCEPTED_FOR_CANDIDATE_EDITORIAL_BASELINE</x:v>
      </x:c>
      <x:c r="I56" s="21" t="str">
        <x:v>TRIAGED_NOT_FULLY_CLEARED</x:v>
      </x:c>
      <x:c r="J56" s="21" t="str">
        <x:v>BLOCKED</x:v>
      </x:c>
      <x:c r="K56" s="21" t="str">
        <x:v>BLOCKED</x:v>
      </x:c>
    </x:row>
    <x:row r="57">
      <x:c r="A57" s="21" t="str">
        <x:v>ED-057</x:v>
      </x:c>
      <x:c r="B57" s="21" t="str">
        <x:v>site-015f495c4236-W3-C01</x:v>
      </x:c>
      <x:c r="C57" s="21" t="str">
        <x:v>site-015f495c4236</x:v>
      </x:c>
      <x:c r="D57" s="21" t="str">
        <x:v>mdyn-gz-lqdym-015f49</x:v>
      </x:c>
      <x:c r="E57" s="21" t="str">
        <x:v>مدينة غزة القديمة</x:v>
      </x:c>
      <x:c r="F57" s="21" t="str">
        <x:v>قدمت دولة فلسطين المركز التاريخي لمدينة غزة إلى قائمة اليونسكو التمهيدية في 13 يناير 2026، وحددت نطاقاً تاريخياً مساحته 1.7 كم² يضم أربعة أحياء تقليدية.</x:v>
      </x:c>
      <x:c r="G57" s="21" t="str">
        <x:v>W3-AUTH-UNESCO-GAZA-HISTORIC-CENTRE-2026</x:v>
      </x:c>
      <x:c r="H57" s="21" t="str">
        <x:v>ACCEPTED_FOR_CANDIDATE_EDITORIAL_BASELINE</x:v>
      </x:c>
      <x:c r="I57" s="21" t="str">
        <x:v>TRIAGED_NOT_FULLY_CLEARED</x:v>
      </x:c>
      <x:c r="J57" s="21" t="str">
        <x:v>BLOCKED</x:v>
      </x:c>
      <x:c r="K57" s="21" t="str">
        <x:v>BLOCKED</x:v>
      </x:c>
    </x:row>
    <x:row r="58">
      <x:c r="A58" s="21" t="str">
        <x:v>ED-058</x:v>
      </x:c>
      <x:c r="B58" s="21" t="str">
        <x:v>site-015f495c4236-W3-C02</x:v>
      </x:c>
      <x:c r="C58" s="21" t="str">
        <x:v>site-015f495c4236</x:v>
      </x:c>
      <x:c r="D58" s="21" t="str">
        <x:v>mdyn-gz-lqdym-015f49</x:v>
      </x:c>
      <x:c r="E58" s="21" t="str">
        <x:v>مدينة غزة القديمة</x:v>
      </x:c>
      <x:c r="F58" s="21" t="str">
        <x:v>تسجل قائمة اليونسكو المحدثة في 25 مارس 2026 أضراراً تحققت منها المنظمة، حتى 24 مارس 2026، في عدد كبير من الممتلكات الدينية والأثرية والمدنية والسكنية المسماة داخل محافظة غزة؛ ولا تُعمم هذه النتيجة على كل مكونات المركز التاريخي.</x:v>
      </x:c>
      <x:c r="G58" s="21" t="str">
        <x:v>W3-AUTH-UNESCO-GAZA-IMPACT-2026</x:v>
      </x:c>
      <x:c r="H58" s="21" t="str">
        <x:v>ACCEPTED_AFTER_MANDATORY_TEMPORAL_REVISION</x:v>
      </x:c>
      <x:c r="I58" s="21" t="str">
        <x:v>TRIAGED_NOT_FULLY_CLEARED</x:v>
      </x:c>
      <x:c r="J58" s="21" t="str">
        <x:v>BLOCKED</x:v>
      </x:c>
      <x:c r="K58" s="21" t="str">
        <x:v>BLOCKED</x:v>
      </x:c>
    </x:row>
    <x:row r="59">
      <x:c r="A59" s="21" t="str">
        <x:v>ED-059</x:v>
      </x:c>
      <x:c r="B59" s="21" t="str">
        <x:v>site-99f520b3d607-W3-C01</x:v>
      </x:c>
      <x:c r="C59" s="21" t="str">
        <x:v>site-99f520b3d607</x:v>
      </x:c>
      <x:c r="D59" s="21" t="str">
        <x:v>myn-gz-lqdym-l-nt-99f520</x:v>
      </x:c>
      <x:c r="E59" s="21" t="str">
        <x:v>ميناء غزة القديم (الأنطة)</x:v>
      </x:c>
      <x:c r="F59" s="21" t="str">
        <x:v>بحسب قائمة اليونسكو المحدثة في 25 مارس 2026، كان ميناء الأنثيدون من المواقع في غزة التي تحققت المنظمة من تعرضها للضرر حتى 24 مارس 2026؛ وما زالت حدود الموقع وشدة الضرر بحاجة إلى تحقق ميداني.</x:v>
      </x:c>
      <x:c r="G59" s="21" t="str">
        <x:v>W3-AUTH-UNESCO-GAZA-IMPACT-2026</x:v>
      </x:c>
      <x:c r="H59" s="21" t="str">
        <x:v>ACCEPTED_AFTER_MANDATORY_TEMPORAL_REVISION</x:v>
      </x:c>
      <x:c r="I59" s="21" t="str">
        <x:v>TRIAGED_NOT_FULLY_CLEARED</x:v>
      </x:c>
      <x:c r="J59" s="21" t="str">
        <x:v>BLOCKED</x:v>
      </x:c>
      <x:c r="K59" s="21" t="str">
        <x:v>BLOCKED</x:v>
      </x:c>
    </x:row>
    <x:row r="60">
      <x:c r="A60" s="21" t="str">
        <x:v>ED-060</x:v>
      </x:c>
      <x:c r="B60" s="21" t="str">
        <x:v>site-99f520b3d607-W3-C02</x:v>
      </x:c>
      <x:c r="C60" s="21" t="str">
        <x:v>site-99f520b3d607</x:v>
      </x:c>
      <x:c r="D60" s="21" t="str">
        <x:v>myn-gz-lqdym-l-nt-99f520</x:v>
      </x:c>
      <x:c r="E60" s="21" t="str">
        <x:v>ميناء غزة القديم (الأنطة)</x:v>
      </x:c>
      <x:c r="F60" s="21" t="str">
        <x:v>يصف ملف دولة فلسطين الأنثيدون بوصفه ميناءً قديماً شمال غربي غزة يضم بقايا من فترات متعددة، ويصرح بأن التحديد الدقيق للموقع ما زال غير محسوم.</x:v>
      </x:c>
      <x:c r="G60" s="21" t="str">
        <x:v>W3-AUTH-UNESCO-ANTHEDON-2012</x:v>
      </x:c>
      <x:c r="H60" s="21" t="str">
        <x:v>ACCEPTED_FOR_CANDIDATE_EDITORIAL_BASELINE</x:v>
      </x:c>
      <x:c r="I60" s="21" t="str">
        <x:v>TRIAGED_NOT_FULLY_CLEARED</x:v>
      </x:c>
      <x:c r="J60" s="21" t="str">
        <x:v>BLOCKED</x:v>
      </x:c>
      <x:c r="K60" s="21" t="str">
        <x:v>BLOCKED</x:v>
      </x:c>
    </x:row>
    <x:row r="61">
      <x:c r="A61" s="21" t="str">
        <x:v>ED-061</x:v>
      </x:c>
      <x:c r="B61" s="21" t="str">
        <x:v>site-0a78d22c1a69-W3-C01</x:v>
      </x:c>
      <x:c r="C61" s="21" t="str">
        <x:v>site-0a78d22c1a69</x:v>
      </x:c>
      <x:c r="D61" s="21" t="str">
        <x:v>khn-ywns-lqdym-0a78d2</x:v>
      </x:c>
      <x:c r="E61" s="21" t="str">
        <x:v>خان يونس القديم</x:v>
      </x:c>
      <x:c r="F61" s="21" t="str">
        <x:v>بحسب قائمة اليونسكو المحدثة في 25 مارس 2026، تحققت المنظمة حتى 24 مارس 2026 من وقوع ضرر في قلعة برقوق بمحافظة خان يونس؛ ولا يثبت ذلك سلامة أو حالة كامل عنقود خان يونس القديم.</x:v>
      </x:c>
      <x:c r="G61" s="21" t="str">
        <x:v>W3-AUTH-UNESCO-GAZA-IMPACT-2026</x:v>
      </x:c>
      <x:c r="H61" s="21" t="str">
        <x:v>ACCEPTED_AFTER_MANDATORY_TEMPORAL_REVISION</x:v>
      </x:c>
      <x:c r="I61" s="21" t="str">
        <x:v>TRIAGED_NOT_FULLY_CLEARED</x:v>
      </x:c>
      <x:c r="J61" s="21" t="str">
        <x:v>BLOCKED</x:v>
      </x:c>
      <x:c r="K61" s="21" t="str">
        <x:v>BLOCKED</x:v>
      </x:c>
    </x:row>
    <x:row r="62">
      <x:c r="A62" s="21" t="str">
        <x:v>ED-062</x:v>
      </x:c>
      <x:c r="B62" s="21" t="str">
        <x:v>site-0a78d22c1a69-W3-C02</x:v>
      </x:c>
      <x:c r="C62" s="21" t="str">
        <x:v>site-0a78d22c1a69</x:v>
      </x:c>
      <x:c r="D62" s="21" t="str">
        <x:v>khn-ywns-lqdym-0a78d2</x:v>
      </x:c>
      <x:c r="E62" s="21" t="str">
        <x:v>خان يونس القديم</x:v>
      </x:c>
      <x:c r="F62" s="21" t="str">
        <x:v>يسجل تقرير فلسطيني مستضاف على موقع اليونسكو أضراراً في بيوت تاريخية بخان يونس، ويعرض قلعة برقوق بوصفها مكوّناً تاريخياً رئيسياً.</x:v>
      </x:c>
      <x:c r="G62" s="21" t="str">
        <x:v>W3-AUTH-UNESCO-PALESTINE-CULTURAL-REPORT-2023</x:v>
      </x:c>
      <x:c r="H62" s="21" t="str">
        <x:v>ACCEPTED_FOR_CANDIDATE_EDITORIAL_BASELINE</x:v>
      </x:c>
      <x:c r="I62" s="21" t="str">
        <x:v>TRIAGED_NOT_FULLY_CLEARED</x:v>
      </x:c>
      <x:c r="J62" s="21" t="str">
        <x:v>BLOCKED</x:v>
      </x:c>
      <x:c r="K62" s="21" t="str">
        <x:v>BLOCKED</x:v>
      </x:c>
    </x:row>
    <x:row r="63">
      <x:c r="A63" s="21" t="str">
        <x:v>ED-063</x:v>
      </x:c>
      <x:c r="B63" s="21" t="str">
        <x:v>site-ee0e5bf1f753-W3-C01</x:v>
      </x:c>
      <x:c r="C63" s="21" t="str">
        <x:v>site-ee0e5bf1f753</x:v>
      </x:c>
      <x:c r="D63" s="21" t="str">
        <x:v>rfh-ltrykhy-ee0e5b</x:v>
      </x:c>
      <x:c r="E63" s="21" t="str">
        <x:v>رفح التاريخية</x:v>
      </x:c>
      <x:c r="F63" s="21" t="str">
        <x:v>بحسب قائمة اليونسكو المحدثة في 25 مارس 2026، تحققت المنظمة حتى 24 مارس 2026 من وقوع ضرر في تل رفح؛ ولا يمتد هذا الإثبات تلقائياً إلى كامل النسيج الحضري التاريخي لرفح.</x:v>
      </x:c>
      <x:c r="G63" s="21" t="str">
        <x:v>W3-AUTH-UNESCO-GAZA-IMPACT-2026</x:v>
      </x:c>
      <x:c r="H63" s="21" t="str">
        <x:v>ACCEPTED_AFTER_MANDATORY_TEMPORAL_REVISION</x:v>
      </x:c>
      <x:c r="I63" s="21" t="str">
        <x:v>TRIAGED_NOT_FULLY_CLEARED</x:v>
      </x:c>
      <x:c r="J63" s="21" t="str">
        <x:v>BLOCKED</x:v>
      </x:c>
      <x:c r="K63" s="21" t="str">
        <x:v>BLOCKED</x:v>
      </x:c>
    </x:row>
    <x:row r="64">
      <x:c r="A64" s="21" t="str">
        <x:v>ED-064</x:v>
      </x:c>
      <x:c r="B64" s="21" t="str">
        <x:v>site-a9ac192e20c3-W4-C01</x:v>
      </x:c>
      <x:c r="C64" s="21" t="str">
        <x:v>site-a9ac192e20c3</x:v>
      </x:c>
      <x:c r="D64" s="21" t="str">
        <x:v>bld-nbls-lqdym-a9ac19</x:v>
      </x:c>
      <x:c r="E64" s="21" t="str">
        <x:v>بلدة نابلس القديمة</x:v>
      </x:c>
      <x:c r="F64" s="21" t="str">
        <x:v>تمثل نابلس القديمة عنقوداً عمرانياً تاريخياً يضم مكونات رومانية وإسلامية ووسيطة وعثمانية ودينية وتجارية وسكنية ومائية.</x:v>
      </x:c>
      <x:c r="G64" s="21" t="str">
        <x:v>W4-AUTH-UNESCO-NABLUS-2012; W4-AUTH-MOTA-NABLUS-OLD-CITY</x:v>
      </x:c>
      <x:c r="H64" s="21" t="str">
        <x:v>ACCEPTED_FOR_CANDIDATE_EDITORIAL_BASELINE</x:v>
      </x:c>
      <x:c r="I64" s="21" t="str">
        <x:v>TRIAGED_NOT_FULLY_CLEARED</x:v>
      </x:c>
      <x:c r="J64" s="21" t="str">
        <x:v>BLOCKED</x:v>
      </x:c>
      <x:c r="K64" s="21" t="str">
        <x:v>BLOCKED</x:v>
      </x:c>
    </x:row>
    <x:row r="65">
      <x:c r="A65" s="21" t="str">
        <x:v>ED-065</x:v>
      </x:c>
      <x:c r="B65" s="21" t="str">
        <x:v>site-a9ac192e20c3-W4-C02</x:v>
      </x:c>
      <x:c r="C65" s="21" t="str">
        <x:v>site-a9ac192e20c3</x:v>
      </x:c>
      <x:c r="D65" s="21" t="str">
        <x:v>bld-nbls-lqdym-a9ac19</x:v>
      </x:c>
      <x:c r="E65" s="21" t="str">
        <x:v>بلدة نابلس القديمة</x:v>
      </x:c>
      <x:c r="F65" s="21" t="str">
        <x:v>أكملت اليونسكو وشركاؤها ترميم خان الوكالة وإعادة توظيفه بوصفه مكوّناً من مكونات نابلس القديمة.</x:v>
      </x:c>
      <x:c r="G65" s="21" t="str">
        <x:v>W4-AUTH-UNESCO-KHAN-WAKALA-2012</x:v>
      </x:c>
      <x:c r="H65" s="21" t="str">
        <x:v>ACCEPTED_FOR_CANDIDATE_EDITORIAL_BASELINE</x:v>
      </x:c>
      <x:c r="I65" s="21" t="str">
        <x:v>TRIAGED_NOT_FULLY_CLEARED</x:v>
      </x:c>
      <x:c r="J65" s="21" t="str">
        <x:v>BLOCKED</x:v>
      </x:c>
      <x:c r="K65" s="21" t="str">
        <x:v>BLOCKED</x:v>
      </x:c>
    </x:row>
    <x:row r="66">
      <x:c r="A66" s="21" t="str">
        <x:v>ED-066</x:v>
      </x:c>
      <x:c r="B66" s="21" t="str">
        <x:v>site-a429c345ac25-W4-C01</x:v>
      </x:c>
      <x:c r="C66" s="21" t="str">
        <x:v>site-a429c345ac25</x:v>
      </x:c>
      <x:c r="D66" s="21" t="str">
        <x:v>jm-lnsr-a429c3</x:v>
      </x:c>
      <x:c r="E66" s="21" t="str">
        <x:v>جامع النصر</x:v>
      </x:c>
      <x:c r="F66" s="21" t="str">
        <x:v>يشكل جامع النصر مكوّناً عمرانياً معروفاً يحد ساحة باب الساحة وشارع النصر داخل نابلس القديمة.</x:v>
      </x:c>
      <x:c r="G66" s="21" t="str">
        <x:v>W4-AUTH-MOTA-NASR-CONTEXT</x:v>
      </x:c>
      <x:c r="H66" s="21" t="str">
        <x:v>ACCEPTED_FOR_CANDIDATE_EDITORIAL_BASELINE</x:v>
      </x:c>
      <x:c r="I66" s="21" t="str">
        <x:v>TRIAGED_NOT_FULLY_CLEARED</x:v>
      </x:c>
      <x:c r="J66" s="21" t="str">
        <x:v>BLOCKED</x:v>
      </x:c>
      <x:c r="K66" s="21" t="str">
        <x:v>BLOCKED</x:v>
      </x:c>
    </x:row>
    <x:row r="67">
      <x:c r="A67" s="21" t="str">
        <x:v>ED-067</x:v>
      </x:c>
      <x:c r="B67" s="21" t="str">
        <x:v>site-b6773e683274-W4-C01</x:v>
      </x:c>
      <x:c r="C67" s="21" t="str">
        <x:v>site-b6773e683274</x:v>
      </x:c>
      <x:c r="D67" s="21" t="str">
        <x:v>jbl-jrzym-b6773e</x:v>
      </x:c>
      <x:c r="E67" s="21" t="str">
        <x:v>جبل جرزيم</x:v>
      </x:c>
      <x:c r="F67" s="21" t="str">
        <x:v>يمثل جبل جرزيم المركز الديني الحي للطائفة السامرية، ويضم بقايا رئيسية من الفترات الهلنستية والرومانية والبيزنطية والإسلامية.</x:v>
      </x:c>
      <x:c r="G67" s="21" t="str">
        <x:v>W4-AUTH-UNESCO-GERIZIM-2012; W4-AUTH-MOTA-NABLUS-OLD-CITY</x:v>
      </x:c>
      <x:c r="H67" s="21" t="str">
        <x:v>ACCEPTED_FOR_CANDIDATE_EDITORIAL_BASELINE</x:v>
      </x:c>
      <x:c r="I67" s="21" t="str">
        <x:v>TRIAGED_NOT_FULLY_CLEARED</x:v>
      </x:c>
      <x:c r="J67" s="21" t="str">
        <x:v>BLOCKED</x:v>
      </x:c>
      <x:c r="K67" s="21" t="str">
        <x:v>BLOCKED</x:v>
      </x:c>
    </x:row>
    <x:row r="68">
      <x:c r="A68" s="21" t="str">
        <x:v>ED-068</x:v>
      </x:c>
      <x:c r="B68" s="21" t="str">
        <x:v>site-160c60c7b952-W4-C01</x:v>
      </x:c>
      <x:c r="C68" s="21" t="str">
        <x:v>site-160c60c7b952</x:v>
      </x:c>
      <x:c r="D68" s="21" t="str">
        <x:v>hr-lysmyn-160c60</x:v>
      </x:c>
      <x:c r="E68" s="21" t="str">
        <x:v>حارة الياسمينة</x:v>
      </x:c>
      <x:c r="F68" s="21" t="str">
        <x:v>حارة الياسمينة إحدى الحارات المعروفة في نابلس القديمة، ويحفظ حوش العطوط نموذجاً من النسيج السكني ذي الأفنية العثمانية.</x:v>
      </x:c>
      <x:c r="G68" s="21" t="str">
        <x:v>W4-AUTH-MOTA-YASMINA-ATOUT</x:v>
      </x:c>
      <x:c r="H68" s="21" t="str">
        <x:v>ACCEPTED_FOR_CANDIDATE_EDITORIAL_BASELINE</x:v>
      </x:c>
      <x:c r="I68" s="21" t="str">
        <x:v>TRIAGED_NOT_FULLY_CLEARED</x:v>
      </x:c>
      <x:c r="J68" s="21" t="str">
        <x:v>BLOCKED</x:v>
      </x:c>
      <x:c r="K68" s="21" t="str">
        <x:v>BLOCKED</x:v>
      </x:c>
    </x:row>
    <x:row r="69">
      <x:c r="A69" s="21" t="str">
        <x:v>ED-069</x:v>
      </x:c>
      <x:c r="B69" s="21" t="str">
        <x:v>site-160c60c7b952-W4-C02</x:v>
      </x:c>
      <x:c r="C69" s="21" t="str">
        <x:v>site-160c60c7b952</x:v>
      </x:c>
      <x:c r="D69" s="21" t="str">
        <x:v>hr-lysmyn-160c60</x:v>
      </x:c>
      <x:c r="E69" s="21" t="str">
        <x:v>حارة الياسمينة</x:v>
      </x:c>
      <x:c r="F69" s="21" t="str">
        <x:v>تذكر البوابة الرسمية تعرض حوش العطوط لأضرار جسيمة سنة 2002، واكتمال إعادة بنائه سنة 2012.</x:v>
      </x:c>
      <x:c r="G69" s="21" t="str">
        <x:v>W4-AUTH-MOTA-YASMINA-ATOUT</x:v>
      </x:c>
      <x:c r="H69" s="21" t="str">
        <x:v>ACCEPTED_FOR_CANDIDATE_EDITORIAL_BASELINE</x:v>
      </x:c>
      <x:c r="I69" s="21" t="str">
        <x:v>TRIAGED_NOT_FULLY_CLEARED</x:v>
      </x:c>
      <x:c r="J69" s="21" t="str">
        <x:v>BLOCKED</x:v>
      </x:c>
      <x:c r="K69" s="21" t="str">
        <x:v>BLOCKED</x:v>
      </x:c>
    </x:row>
    <x:row r="70">
      <x:c r="A70" s="21" t="str">
        <x:v>ED-070</x:v>
      </x:c>
      <x:c r="B70" s="21" t="str">
        <x:v>site-31c7667ff10e-W4-C01</x:v>
      </x:c>
      <x:c r="C70" s="21" t="str">
        <x:v>site-31c7667ff10e</x:v>
      </x:c>
      <x:c r="D70" s="21" t="str">
        <x:v>khn-ltjr-31c766</x:v>
      </x:c>
      <x:c r="E70" s="21" t="str">
        <x:v>خان التجار</x:v>
      </x:c>
      <x:c r="F70" s="21" t="str">
        <x:v>خان التجار سوق تاريخي معروف، ويعمل بوصفه سوقاً للأقمشة ضمن مكونات نابلس القديمة.</x:v>
      </x:c>
      <x:c r="G70" s="21" t="str">
        <x:v>W4-AUTH-MOTA-KHAN-TUJJAR</x:v>
      </x:c>
      <x:c r="H70" s="21" t="str">
        <x:v>ACCEPTED_FOR_CANDIDATE_EDITORIAL_BASELINE</x:v>
      </x:c>
      <x:c r="I70" s="21" t="str">
        <x:v>TRIAGED_NOT_FULLY_CLEARED</x:v>
      </x:c>
      <x:c r="J70" s="21" t="str">
        <x:v>BLOCKED</x:v>
      </x:c>
      <x:c r="K70" s="21" t="str">
        <x:v>BLOCKED</x:v>
      </x:c>
    </x:row>
    <x:row r="71">
      <x:c r="A71" s="21" t="str">
        <x:v>ED-071</x:v>
      </x:c>
      <x:c r="B71" s="21" t="str">
        <x:v>site-fb9a817ec94a-W4-C01</x:v>
      </x:c>
      <x:c r="C71" s="21" t="str">
        <x:v>site-fb9a817ec94a</x:v>
      </x:c>
      <x:c r="D71" s="21" t="str">
        <x:v>mqm-lnby-ywsf-blt-fb9a81</x:v>
      </x:c>
      <x:c r="E71" s="21" t="str">
        <x:v>مقام النبي يوسف (بلاطة)</x:v>
      </x:c>
      <x:c r="F71" s="21" t="str">
        <x:v>شهد مقام النبي يوسف قرب بلاطة تقاليد تبجيل لدى مسلمين ومسيحيين ويهود وسامريين، كما تغيرت معانيه الاجتماعية والدينية الفلسطينية عبر الزمن.</x:v>
      </x:c>
      <x:c r="G71" s="21" t="str">
        <x:v>W4-ACADEMIC-JQ-MAQAM-YUSUF-2023</x:v>
      </x:c>
      <x:c r="H71" s="21" t="str">
        <x:v>ACCEPTED_FOR_CANDIDATE_EDITORIAL_BASELINE</x:v>
      </x:c>
      <x:c r="I71" s="21" t="str">
        <x:v>TRIAGED_NOT_FULLY_CLEARED</x:v>
      </x:c>
      <x:c r="J71" s="21" t="str">
        <x:v>BLOCKED</x:v>
      </x:c>
      <x:c r="K71" s="21" t="str">
        <x:v>BLOCKED</x:v>
      </x:c>
    </x:row>
    <x:row r="72">
      <x:c r="A72" s="21" t="str">
        <x:v>ED-072</x:v>
      </x:c>
      <x:c r="B72" s="21" t="str">
        <x:v>site-fb9a817ec94a-W4-C02</x:v>
      </x:c>
      <x:c r="C72" s="21" t="str">
        <x:v>site-fb9a817ec94a</x:v>
      </x:c>
      <x:c r="D72" s="21" t="str">
        <x:v>mqm-lnby-ywsf-blt-fb9a81</x:v>
      </x:c>
      <x:c r="E72" s="21" t="str">
        <x:v>مقام النبي يوسف (بلاطة)</x:v>
      </x:c>
      <x:c r="F72" s="21" t="str">
        <x:v>تخلص الدراسة الأكاديمية المفحوصة إلى أن الأدلة الأثرية لا تحسم هويات الدفن المتنافسة المنسوبة إلى المقام.</x:v>
      </x:c>
      <x:c r="G72" s="21" t="str">
        <x:v>W4-ACADEMIC-JQ-MAQAM-YUSUF-2023</x:v>
      </x:c>
      <x:c r="H72" s="21" t="str">
        <x:v>ACCEPTED_FOR_CANDIDATE_EDITORIAL_BASELINE</x:v>
      </x:c>
      <x:c r="I72" s="21" t="str">
        <x:v>TRIAGED_NOT_FULLY_CLEARED</x:v>
      </x:c>
      <x:c r="J72" s="21" t="str">
        <x:v>BLOCKED</x:v>
      </x:c>
      <x:c r="K72" s="21" t="str">
        <x:v>BLOCKED</x:v>
      </x:c>
    </x:row>
    <x:row r="73">
      <x:c r="A73" s="21" t="str">
        <x:v>ED-073</x:v>
      </x:c>
      <x:c r="B73" s="21" t="str">
        <x:v>site-f2a7fbbda5a5-W4-C01</x:v>
      </x:c>
      <x:c r="C73" s="21" t="str">
        <x:v>site-f2a7fbbda5a5</x:v>
      </x:c>
      <x:c r="D73" s="21" t="str">
        <x:v>bld-jnyn-lqdym-f2a7fb</x:v>
      </x:c>
      <x:c r="E73" s="21" t="str">
        <x:v>بلدة جنين القديمة</x:v>
      </x:c>
      <x:c r="F73" s="21" t="str">
        <x:v>سوق السيباط مكوّن عثماني متأخر داخل أحياء جنين القديمة، وتذكر البوابة الرسمية وجود سياق أثري روماني وبيزنطي تحته.</x:v>
      </x:c>
      <x:c r="G73" s="21" t="str">
        <x:v>W4-AUTH-MOTA-JENIN-SIBAT</x:v>
      </x:c>
      <x:c r="H73" s="21" t="str">
        <x:v>ACCEPTED_FOR_CANDIDATE_EDITORIAL_BASELINE</x:v>
      </x:c>
      <x:c r="I73" s="21" t="str">
        <x:v>TRIAGED_NOT_FULLY_CLEARED</x:v>
      </x:c>
      <x:c r="J73" s="21" t="str">
        <x:v>BLOCKED</x:v>
      </x:c>
      <x:c r="K73" s="21" t="str">
        <x:v>BLOCKED</x:v>
      </x:c>
    </x:row>
    <x:row r="74">
      <x:c r="A74" s="21" t="str">
        <x:v>ED-074</x:v>
      </x:c>
      <x:c r="B74" s="21" t="str">
        <x:v>site-f2a7fbbda5a5-W4-C02</x:v>
      </x:c>
      <x:c r="C74" s="21" t="str">
        <x:v>site-f2a7fbbda5a5</x:v>
      </x:c>
      <x:c r="D74" s="21" t="str">
        <x:v>bld-jnyn-lqdym-f2a7fb</x:v>
      </x:c>
      <x:c r="E74" s="21" t="str">
        <x:v>بلدة جنين القديمة</x:v>
      </x:c>
      <x:c r="F74" s="21" t="str">
        <x:v>يمثل مسجد فاطمة خاتون مكوّناً عمرانياً عثمانياً رئيسياً من القرن السادس عشر في وسط جنين.</x:v>
      </x:c>
      <x:c r="G74" s="21" t="str">
        <x:v>W4-AUTH-MOTA-JENIN-FATIMA-KHATUN</x:v>
      </x:c>
      <x:c r="H74" s="21" t="str">
        <x:v>ACCEPTED_FOR_CANDIDATE_EDITORIAL_BASELINE</x:v>
      </x:c>
      <x:c r="I74" s="21" t="str">
        <x:v>TRIAGED_NOT_FULLY_CLEARED</x:v>
      </x:c>
      <x:c r="J74" s="21" t="str">
        <x:v>BLOCKED</x:v>
      </x:c>
      <x:c r="K74" s="21" t="str">
        <x:v>BLOCKED</x:v>
      </x:c>
    </x:row>
    <x:row r="75">
      <x:c r="A75" s="21" t="str">
        <x:v>ED-075</x:v>
      </x:c>
      <x:c r="B75" s="21" t="str">
        <x:v>site-fe1e2a1605b5-W4-C01</x:v>
      </x:c>
      <x:c r="C75" s="21" t="str">
        <x:v>site-fe1e2a1605b5</x:v>
      </x:c>
      <x:c r="D75" s="21" t="str">
        <x:v>qsr-lkyd-fe1e2a</x:v>
      </x:c>
      <x:c r="E75" s="21" t="str">
        <x:v>قصر الكايد</x:v>
      </x:c>
      <x:c r="F75" s="21" t="str">
        <x:v>تضع البوابة الفلسطينية الرسمية قصر الكايد في سبسطية بمحافظة نابلس، وتؤرخ بناءه بسنة 1858.</x:v>
      </x:c>
      <x:c r="G75" s="21" t="str">
        <x:v>W4-AUTH-MOTA-KAYED-SEBASTIA</x:v>
      </x:c>
      <x:c r="H75" s="21" t="str">
        <x:v>ACCEPTED_FOR_CANDIDATE_EDITORIAL_BASELINE</x:v>
      </x:c>
      <x:c r="I75" s="21" t="str">
        <x:v>TRIAGED_NOT_FULLY_CLEARED</x:v>
      </x:c>
      <x:c r="J75" s="21" t="str">
        <x:v>BLOCKED</x:v>
      </x:c>
      <x:c r="K75" s="21" t="str">
        <x:v>BLOCKED</x:v>
      </x:c>
    </x:row>
    <x:row r="76">
      <x:c r="A76" s="21" t="str">
        <x:v>ED-076</x:v>
      </x:c>
      <x:c r="B76" s="21" t="str">
        <x:v>site-2c1f6b6dbd51-W4-C01</x:v>
      </x:c>
      <x:c r="C76" s="21" t="str">
        <x:v>site-2c1f6b6dbd51</x:v>
      </x:c>
      <x:c r="D76" s="21" t="str">
        <x:v>knys-brqyn-2c1f6b</x:v>
      </x:c>
      <x:c r="E76" s="21" t="str">
        <x:v>كنيسة برقين</x:v>
      </x:c>
      <x:c r="F76" s="21" t="str">
        <x:v>كنيسة برقين كنيسة روم أرثوذكس حية في بلدة برقين، وتنسبها البوابة الرسمية تراثياً إلى الفترة البيزنطية.</x:v>
      </x:c>
      <x:c r="G76" s="21" t="str">
        <x:v>W4-AUTH-MOTA-BURQIN</x:v>
      </x:c>
      <x:c r="H76" s="21" t="str">
        <x:v>ACCEPTED_FOR_CANDIDATE_EDITORIAL_BASELINE</x:v>
      </x:c>
      <x:c r="I76" s="21" t="str">
        <x:v>TRIAGED_NOT_FULLY_CLEARED</x:v>
      </x:c>
      <x:c r="J76" s="21" t="str">
        <x:v>BLOCKED</x:v>
      </x:c>
      <x:c r="K76" s="21" t="str">
        <x:v>BLOCKED</x:v>
      </x:c>
    </x:row>
    <x:row r="77">
      <x:c r="A77" s="21" t="str">
        <x:v>ED-077</x:v>
      </x:c>
      <x:c r="B77" s="21" t="str">
        <x:v>site-be1c2ce90997-W4-C01</x:v>
      </x:c>
      <x:c r="C77" s="21" t="str">
        <x:v>site-be1c2ce90997</x:v>
      </x:c>
      <x:c r="D77" s="21" t="str">
        <x:v>mdyn-twlkrm-ltrykhy-be1c2c</x:v>
      </x:c>
      <x:c r="E77" s="21" t="str">
        <x:v>مدينة طولكرم التاريخية</x:v>
      </x:c>
      <x:c r="F77" s="21" t="str">
        <x:v>تضم طولكرم أصولاً مبنية معترفاً بها رسمياً، منها متحف داخل مبنى شُيد سنة 1908 في أواخر العهد العثماني، ومنشآت تراثية جرى تأهيلها.</x:v>
      </x:c>
      <x:c r="G77" s="21" t="str">
        <x:v>W4-AUTH-MOTA-TULKARM-MUSEUM; W4-AUTH-UNESCO-RIWAQ-75-STEPS-2023</x:v>
      </x:c>
      <x:c r="H77" s="21" t="str">
        <x:v>ACCEPTED_FOR_CANDIDATE_EDITORIAL_BASELINE</x:v>
      </x:c>
      <x:c r="I77" s="21" t="str">
        <x:v>TRIAGED_NOT_FULLY_CLEARED</x:v>
      </x:c>
      <x:c r="J77" s="21" t="str">
        <x:v>BLOCKED</x:v>
      </x:c>
      <x:c r="K77" s="21" t="str">
        <x:v>BLOCKED</x:v>
      </x:c>
    </x:row>
    <x:row r="78">
      <x:c r="A78" s="21" t="str">
        <x:v>ED-078</x:v>
      </x:c>
      <x:c r="B78" s="21" t="str">
        <x:v>site-69f3ad775733-W4-C01</x:v>
      </x:c>
      <x:c r="C78" s="21" t="str">
        <x:v>site-69f3ad775733</x:v>
      </x:c>
      <x:c r="D78" s="21" t="str">
        <x:v>khrb-dyr-sty-69f3ad</x:v>
      </x:c>
      <x:c r="E78" s="21" t="str">
        <x:v>بلدة دير استيا التاريخية</x:v>
      </x:c>
      <x:c r="F78" s="21" t="str">
        <x:v>دير استيا مركز تاريخي فلسطيني معروف يضم مباني عمرها نحو ثلاثة قرون وشوارع ضيقة وقصوراً وينابيع وكهوفاً وخرباً.</x:v>
      </x:c>
      <x:c r="G78" s="21" t="str">
        <x:v>W4-AUTH-MOTA-DEIR-ISTIYA; W4-AUTH-RIWAQ-50-CENTRES; W4-AUTH-RIWAQ-DEIR-ISTIYA-PALACES</x:v>
      </x:c>
      <x:c r="H78" s="21" t="str">
        <x:v>ACCEPTED_FOR_CANDIDATE_EDITORIAL_BASELINE</x:v>
      </x:c>
      <x:c r="I78" s="21" t="str">
        <x:v>TRIAGED_NOT_FULLY_CLEARED</x:v>
      </x:c>
      <x:c r="J78" s="21" t="str">
        <x:v>BLOCKED</x:v>
      </x:c>
      <x:c r="K78" s="21" t="str">
        <x:v>BLOCKED</x:v>
      </x:c>
    </x:row>
    <x:row r="79">
      <x:c r="A79" s="21" t="str">
        <x:v>ED-079</x:v>
      </x:c>
      <x:c r="B79" s="21" t="str">
        <x:v>site-ba91049d51a9-W4-C01</x:v>
      </x:c>
      <x:c r="C79" s="21" t="str">
        <x:v>site-ba91049d51a9</x:v>
      </x:c>
      <x:c r="D79" s="21" t="str">
        <x:v>ywn-lm-l-thry-ba9104</x:v>
      </x:c>
      <x:c r="E79" s="21" t="str">
        <x:v>عيون الماء الأثرية</x:v>
      </x:c>
      <x:c r="F79" s="21" t="str">
        <x:v>يؤكد السجل الرسمي لدير استيا وجود ينابيع مائية عديدة، إلى جانب وادي قانا الدائم الجريان في المحيط القريب.</x:v>
      </x:c>
      <x:c r="G79" s="21" t="str">
        <x:v>W4-AUTH-MOTA-DEIR-ISTIYA</x:v>
      </x:c>
      <x:c r="H79" s="21" t="str">
        <x:v>ACCEPTED_FOR_CANDIDATE_EDITORIAL_BASELINE</x:v>
      </x:c>
      <x:c r="I79" s="21" t="str">
        <x:v>TRIAGED_NOT_FULLY_CLEARED</x:v>
      </x:c>
      <x:c r="J79" s="21" t="str">
        <x:v>BLOCKED</x:v>
      </x:c>
      <x:c r="K79" s="21" t="str">
        <x:v>BLOCKED</x:v>
      </x:c>
    </x:row>
    <x:row r="80">
      <x:c r="A80" s="21" t="str">
        <x:v>ED-081</x:v>
      </x:c>
      <x:c r="B80" s="21" t="str">
        <x:v>site-c6731a990917-W4-C01</x:v>
      </x:c>
      <x:c r="C80" s="21" t="str">
        <x:v>site-c6731a990917</x:v>
      </x:c>
      <x:c r="D80" s="21" t="str">
        <x:v>tl-lfr-lmdyn-lkn-ny-c6731a</x:v>
      </x:c>
      <x:c r="E80" s="21" t="str">
        <x:v>تل الفارعة (المدينة الكنعانية)</x:v>
      </x:c>
      <x:c r="F80" s="21" t="str">
        <x:v>يرتبط تل الفارعة الشمالي بمجموعة كبيرة من حفريات ومنشورات المدرسة الكتابية والآثارية الفرنسية، شملت تسع حملات قادها رولان دي فو بين 1946 و1960.</x:v>
      </x:c>
      <x:c r="G80" s="21" t="str">
        <x:v>W4-ACADEMIC-EBAF-TELL-FARAH-CORPUS</x:v>
      </x:c>
      <x:c r="H80" s="21" t="str">
        <x:v>ACCEPTED_FOR_CANDIDATE_EDITORIAL_BASELINE</x:v>
      </x:c>
      <x:c r="I80" s="21" t="str">
        <x:v>TRIAGED_NOT_FULLY_CLEARED</x:v>
      </x:c>
      <x:c r="J80" s="21" t="str">
        <x:v>BLOCKED</x:v>
      </x:c>
      <x:c r="K80" s="21" t="str">
        <x:v>BLOCKED</x:v>
      </x:c>
    </x:row>
    <x:row r="81">
      <x:c r="A81" s="21" t="str">
        <x:v>ED-082</x:v>
      </x:c>
      <x:c r="B81" s="21" t="str">
        <x:v>site-e2a5c15f76f6-W5-C01</x:v>
      </x:c>
      <x:c r="C81" s="21" t="str">
        <x:v>site-e2a5c15f76f6</x:v>
      </x:c>
      <x:c r="D81" s="21" t="str">
        <x:v>bld-byrzyt-lqdym-e2a5c1</x:v>
      </x:c>
      <x:c r="E81" s="21" t="str">
        <x:v>بلدة بيرزيت القديمة</x:v>
      </x:c>
      <x:c r="F81" s="21" t="str">
        <x:v>تضم بيرزيت مركزاً تاريخياً خضع لتوثيق مبانيه وساحاته وبنيته التحتية وحدوده، ولبرنامج طويل الأمد للحماية والتأهيل نفذته مؤسسة رواق.</x:v>
      </x:c>
      <x:c r="G81" s="21" t="str">
        <x:v>W5-AUTH-RIWAQ-BIRZEIT-001; W5-AUTH-RIWAQ-BIRZEIT-AWARD-001</x:v>
      </x:c>
      <x:c r="H81" s="21" t="str">
        <x:v>ACCEPTED_FOR_CANDIDATE_EDITORIAL_BASELINE</x:v>
      </x:c>
      <x:c r="I81" s="21" t="str">
        <x:v>TRIAGED_NOT_FULLY_CLEARED</x:v>
      </x:c>
      <x:c r="J81" s="21" t="str">
        <x:v>BLOCKED</x:v>
      </x:c>
      <x:c r="K81" s="21" t="str">
        <x:v>BLOCKED</x:v>
      </x:c>
    </x:row>
    <x:row r="82">
      <x:c r="A82" s="21" t="str">
        <x:v>ED-084</x:v>
      </x:c>
      <x:c r="B82" s="21" t="str">
        <x:v>site-014e4c4e4845-W5-C01</x:v>
      </x:c>
      <x:c r="C82" s="21" t="str">
        <x:v>site-014e4c4e4845</x:v>
      </x:c>
      <x:c r="D82" s="21" t="str">
        <x:v>khrb-bwd-014e4c</x:v>
      </x:c>
      <x:c r="E82" s="21" t="str">
        <x:v>عابود التاريخية</x:v>
      </x:c>
      <x:c r="F82" s="21" t="str">
        <x:v>تندرج عابود ضمن برنامج رواق للمراكز التاريخية الفلسطينية.</x:v>
      </x:c>
      <x:c r="G82" s="21" t="str">
        <x:v>W5-AUTH-RIWAQ-50-CENTRES-001</x:v>
      </x:c>
      <x:c r="H82" s="21" t="str">
        <x:v>ACCEPTED_FOR_CANDIDATE_EDITORIAL_BASELINE</x:v>
      </x:c>
      <x:c r="I82" s="21" t="str">
        <x:v>TRIAGED_NOT_FULLY_CLEARED</x:v>
      </x:c>
      <x:c r="J82" s="21" t="str">
        <x:v>BLOCKED</x:v>
      </x:c>
      <x:c r="K82" s="21" t="str">
        <x:v>BLOCKED</x:v>
      </x:c>
    </x:row>
    <x:row r="83">
      <x:c r="A83" s="21" t="str">
        <x:v>ED-085</x:v>
      </x:c>
      <x:c r="B83" s="21" t="str">
        <x:v>site-014e4c4e4845-W5-C02</x:v>
      </x:c>
      <x:c r="C83" s="21" t="str">
        <x:v>site-014e4c4e4845</x:v>
      </x:c>
      <x:c r="D83" s="21" t="str">
        <x:v>khrb-bwd-014e4c</x:v>
      </x:c>
      <x:c r="E83" s="21" t="str">
        <x:v>عابود التاريخية</x:v>
      </x:c>
      <x:c r="F83" s="21" t="str">
        <x:v>يضم مشهد عابود بقايا كنيسة القديسة بربارة من القرن السادس وسياقاً لطريق ومقبرة رومانيين، إلى جانب كنيسة الرقاد الموثقة بمراحل معمارية متعددة.</x:v>
      </x:c>
      <x:c r="G83" s="21" t="str">
        <x:v>W5-AUTH-MOTA-ABOUD-BARBARA-001; W5-AUTH-MOTA-ABOUD-DORMITION-001</x:v>
      </x:c>
      <x:c r="H83" s="21" t="str">
        <x:v>ACCEPTED_FOR_CANDIDATE_EDITORIAL_BASELINE</x:v>
      </x:c>
      <x:c r="I83" s="21" t="str">
        <x:v>TRIAGED_NOT_FULLY_CLEARED</x:v>
      </x:c>
      <x:c r="J83" s="21" t="str">
        <x:v>BLOCKED</x:v>
      </x:c>
      <x:c r="K83" s="21" t="str">
        <x:v>BLOCKED</x:v>
      </x:c>
    </x:row>
    <x:row r="84">
      <x:c r="A84" s="21" t="str">
        <x:v>ED-086</x:v>
      </x:c>
      <x:c r="B84" s="21" t="str">
        <x:v>site-28dd528f5f3a-W5-C01</x:v>
      </x:c>
      <x:c r="C84" s="21" t="str">
        <x:v>site-28dd528f5f3a</x:v>
      </x:c>
      <x:c r="D84" s="21" t="str">
        <x:v>dyr-mr-28dd52</x:v>
      </x:c>
      <x:c r="E84" s="21" t="str">
        <x:v>دير عمار</x:v>
      </x:c>
      <x:c r="F84" s="21" t="str">
        <x:v>تعرف مؤسسة رواق دير عمار بوصفها مركزاً تاريخياً فلسطينياً.</x:v>
      </x:c>
      <x:c r="G84" s="21" t="str">
        <x:v>W5-AUTH-RIWAQ-DEIR-AMMAR-001; W5-AUTH-RIWAQ-50-CENTRES-001</x:v>
      </x:c>
      <x:c r="H84" s="21" t="str">
        <x:v>ACCEPTED_FOR_CANDIDATE_EDITORIAL_BASELINE</x:v>
      </x:c>
      <x:c r="I84" s="21" t="str">
        <x:v>TRIAGED_NOT_FULLY_CLEARED</x:v>
      </x:c>
      <x:c r="J84" s="21" t="str">
        <x:v>BLOCKED</x:v>
      </x:c>
      <x:c r="K84" s="21" t="str">
        <x:v>BLOCKED</x:v>
      </x:c>
    </x:row>
    <x:row r="85">
      <x:c r="A85" s="21" t="str">
        <x:v>ED-087</x:v>
      </x:c>
      <x:c r="B85" s="21" t="str">
        <x:v>site-2a3fdab99250-W5-C01</x:v>
      </x:c>
      <x:c r="C85" s="21" t="str">
        <x:v>site-2a3fdab99250</x:v>
      </x:c>
      <x:c r="D85" s="21" t="str">
        <x:v>yn-smy-2a3fda</x:v>
      </x:c>
      <x:c r="E85" s="21" t="str">
        <x:v>عين سامية</x:v>
      </x:c>
      <x:c r="F85" s="21" t="str">
        <x:v>توثق المصادر الأكاديمية في عين سامية قبوراً عمودية ولقى مرتبطة بالعصر البرونزي الانتقالي/الأوسط.</x:v>
      </x:c>
      <x:c r="G85" s="21" t="str">
        <x:v>W5-ACADEMIC-AIN-SAMIYA-TOMB-204-001; W5-ACADEMIC-CAMBRIDGE-AIN-SAMIYA-001</x:v>
      </x:c>
      <x:c r="H85" s="21" t="str">
        <x:v>ACCEPTED_FOR_CANDIDATE_EDITORIAL_BASELINE</x:v>
      </x:c>
      <x:c r="I85" s="21" t="str">
        <x:v>TRIAGED_NOT_FULLY_CLEARED</x:v>
      </x:c>
      <x:c r="J85" s="21" t="str">
        <x:v>BLOCKED</x:v>
      </x:c>
      <x:c r="K85" s="21" t="str">
        <x:v>BLOCKED</x:v>
      </x:c>
    </x:row>
    <x:row r="86">
      <x:c r="A86" s="21" t="str">
        <x:v>ED-088</x:v>
      </x:c>
      <x:c r="B86" s="21" t="str">
        <x:v>site-2a3fdab99250-W5-C02</x:v>
      </x:c>
      <x:c r="C86" s="21" t="str">
        <x:v>site-2a3fdab99250</x:v>
      </x:c>
      <x:c r="D86" s="21" t="str">
        <x:v>yn-smy-2a3fda</x:v>
      </x:c>
      <x:c r="E86" s="21" t="str">
        <x:v>عين سامية</x:v>
      </x:c>
      <x:c r="F86" s="21" t="str">
        <x:v>يميز دليل المسارات الفلسطيني بين عين سامية وخربة مرجمة وعنصر القصر وخربة سامية ضمن المشهد الأوسع، ولا يعاملها موقعاً واحداً.</x:v>
      </x:c>
      <x:c r="G86" s="21" t="str">
        <x:v>W5-AUTH-WAFA-TOURIST-TRAILS-001</x:v>
      </x:c>
      <x:c r="H86" s="21" t="str">
        <x:v>ACCEPTED_FOR_CANDIDATE_EDITORIAL_BASELINE</x:v>
      </x:c>
      <x:c r="I86" s="21" t="str">
        <x:v>TRIAGED_NOT_FULLY_CLEARED</x:v>
      </x:c>
      <x:c r="J86" s="21" t="str">
        <x:v>BLOCKED</x:v>
      </x:c>
      <x:c r="K86" s="21" t="str">
        <x:v>BLOCKED</x:v>
      </x:c>
    </x:row>
    <x:row r="87">
      <x:c r="A87" s="21" t="str">
        <x:v>ED-089</x:v>
      </x:c>
      <x:c r="B87" s="21" t="str">
        <x:v>site-12fc185d4b0b-W5-C01</x:v>
      </x:c>
      <x:c r="C87" s="21" t="str">
        <x:v>site-12fc185d4b0b</x:v>
      </x:c>
      <x:c r="D87" s="21" t="str">
        <x:v>mqm-lnby-slh-12fc18</x:v>
      </x:c>
      <x:c r="E87" s="21" t="str">
        <x:v>مقام النبي صالح</x:v>
      </x:c>
      <x:c r="F87" s="21" t="str">
        <x:v>توثق مؤسسة رواق ترميم مجمع مركز النبي صالح الثقافي وإعادة توظيفه بالشراكة مع جهة محلية، مع اكتمال المشروع سنة 2003.</x:v>
      </x:c>
      <x:c r="G87" s="21" t="str">
        <x:v>W5-AUTH-RIWAQ-NABI-SALEH-001</x:v>
      </x:c>
      <x:c r="H87" s="21" t="str">
        <x:v>ACCEPTED_FOR_CANDIDATE_EDITORIAL_BASELINE</x:v>
      </x:c>
      <x:c r="I87" s="21" t="str">
        <x:v>TRIAGED_NOT_FULLY_CLEARED</x:v>
      </x:c>
      <x:c r="J87" s="21" t="str">
        <x:v>BLOCKED</x:v>
      </x:c>
      <x:c r="K87" s="21" t="str">
        <x:v>BLOCKED</x:v>
      </x:c>
    </x:row>
    <x:row r="88">
      <x:c r="A88" s="21" t="str">
        <x:v>ED-090</x:v>
      </x:c>
      <x:c r="B88" s="21" t="str">
        <x:v>site-cc4465115964-W5-C01</x:v>
      </x:c>
      <x:c r="C88" s="21" t="str">
        <x:v>site-cc4465115964</x:v>
      </x:c>
      <x:c r="D88" s="21" t="str">
        <x:v>dyr-qrntl-cc4465</x:v>
      </x:c>
      <x:c r="E88" s="21" t="str">
        <x:v>دير قرنطل</x:v>
      </x:c>
      <x:c r="F88" s="21" t="str">
        <x:v>توثق البوابة الفلسطينية الرسمية كهوفاً رهبانية ومرحلة دير من القرن السادس وأعمال ترميم سنة 1892 في دير قرنطل.</x:v>
      </x:c>
      <x:c r="G88" s="21" t="str">
        <x:v>W5-AUTH-MOTA-QURUNTAL-001</x:v>
      </x:c>
      <x:c r="H88" s="21" t="str">
        <x:v>ACCEPTED_FOR_CANDIDATE_EDITORIAL_BASELINE</x:v>
      </x:c>
      <x:c r="I88" s="21" t="str">
        <x:v>TRIAGED_NOT_FULLY_CLEARED</x:v>
      </x:c>
      <x:c r="J88" s="21" t="str">
        <x:v>BLOCKED</x:v>
      </x:c>
      <x:c r="K88" s="21" t="str">
        <x:v>BLOCKED</x:v>
      </x:c>
    </x:row>
    <x:row r="89">
      <x:c r="A89" s="21" t="str">
        <x:v>ED-091</x:v>
      </x:c>
      <x:c r="B89" s="21" t="str">
        <x:v>site-b5f00132ee24-W5-C01</x:v>
      </x:c>
      <x:c r="C89" s="21" t="str">
        <x:v>site-b5f00132ee24</x:v>
      </x:c>
      <x:c r="D89" s="21" t="str">
        <x:v>yn-lsltn-b5f001</x:v>
      </x:c>
      <x:c r="E89" s="21" t="str">
        <x:v>عين السلطان</x:v>
      </x:c>
      <x:c r="F89" s="21" t="str">
        <x:v>عين السلطان نبع دائم مجاور لتل السلطان، وتعده اليونسكو من عناصر عقار أريحا القديمة/تل السلطان المدرج على قائمة التراث العالمي.</x:v>
      </x:c>
      <x:c r="G89" s="21" t="str">
        <x:v>W5-AUTH-UNESCO-JERICHO-001</x:v>
      </x:c>
      <x:c r="H89" s="21" t="str">
        <x:v>ACCEPTED_FOR_CANDIDATE_EDITORIAL_BASELINE</x:v>
      </x:c>
      <x:c r="I89" s="21" t="str">
        <x:v>TRIAGED_NOT_FULLY_CLEARED</x:v>
      </x:c>
      <x:c r="J89" s="21" t="str">
        <x:v>BLOCKED</x:v>
      </x:c>
      <x:c r="K89" s="21" t="str">
        <x:v>BLOCKED</x:v>
      </x:c>
    </x:row>
    <x:row r="90">
      <x:c r="A90" s="21" t="str">
        <x:v>ED-092</x:v>
      </x:c>
      <x:c r="B90" s="21" t="str">
        <x:v>site-ce23c41d7641-W5-C01</x:v>
      </x:c>
      <x:c r="C90" s="21" t="str">
        <x:v>site-ce23c41d7641</x:v>
      </x:c>
      <x:c r="D90" s="21" t="str">
        <x:v>qbr-lnby-mws-ce23c4</x:v>
      </x:c>
      <x:c r="E90" s="21" t="str">
        <x:v>قبر النبي موسى</x:v>
      </x:c>
      <x:c r="F90" s="21" t="str">
        <x:v>يصف السجل الفلسطيني الرسمي مجمعاً واحداً للنبي موسى يضم مسجداً وضريحاً أو قبراً وساحة وغرفاً ومرافق مرتبطة.</x:v>
      </x:c>
      <x:c r="G90" s="21" t="str">
        <x:v>W5-AUTH-MOTA-NABI-MUSA-001</x:v>
      </x:c>
      <x:c r="H90" s="21" t="str">
        <x:v>ACCEPTED_FOR_CANDIDATE_EDITORIAL_BASELINE</x:v>
      </x:c>
      <x:c r="I90" s="21" t="str">
        <x:v>TRIAGED_NOT_FULLY_CLEARED</x:v>
      </x:c>
      <x:c r="J90" s="21" t="str">
        <x:v>BLOCKED</x:v>
      </x:c>
      <x:c r="K90" s="21" t="str">
        <x:v>BLOCKED</x:v>
      </x:c>
    </x:row>
    <x:row r="91">
      <x:c r="A91" s="21" t="str">
        <x:v>ED-094</x:v>
      </x:c>
      <x:c r="B91" s="21" t="str">
        <x:v>site-c4d8c9fdd1f0-W5-C01</x:v>
      </x:c>
      <x:c r="C91" s="21" t="str">
        <x:v>site-c4d8c9fdd1f0</x:v>
      </x:c>
      <x:c r="D91" s="21" t="str">
        <x:v>mqm-lnby-mws-c4d8c9</x:v>
      </x:c>
      <x:c r="E91" s="21" t="str">
        <x:v>مقام النبي موسى</x:v>
      </x:c>
      <x:c r="F91" s="21" t="str">
        <x:v>تعرف البوابة الفلسطينية الرسمية مقام النبي موسى بوصفه مجمعاً معمارياً مملوكياً مرتبطاً مؤسسياً بالسلطان الظاهر بيبرس.</x:v>
      </x:c>
      <x:c r="G91" s="21" t="str">
        <x:v>W5-AUTH-MOTA-NABI-MUSA-001</x:v>
      </x:c>
      <x:c r="H91" s="21" t="str">
        <x:v>ACCEPTED_FOR_CANDIDATE_EDITORIAL_BASELINE</x:v>
      </x:c>
      <x:c r="I91" s="21" t="str">
        <x:v>TRIAGED_NOT_FULLY_CLEARED</x:v>
      </x:c>
      <x:c r="J91" s="21" t="str">
        <x:v>BLOCKED</x:v>
      </x:c>
      <x:c r="K91" s="21" t="str">
        <x:v>BLOCKED</x:v>
      </x:c>
    </x:row>
    <x:row r="92">
      <x:c r="A92" s="21" t="str">
        <x:v>ED-095</x:v>
      </x:c>
      <x:c r="B92" s="21" t="str">
        <x:v>site-c4d8c9fdd1f0-W5-C02</x:v>
      </x:c>
      <x:c r="C92" s="21" t="str">
        <x:v>site-c4d8c9fdd1f0</x:v>
      </x:c>
      <x:c r="D92" s="21" t="str">
        <x:v>mqm-lnby-mws-c4d8c9</x:v>
      </x:c>
      <x:c r="E92" s="21" t="str">
        <x:v>مقام النبي موسى</x:v>
      </x:c>
      <x:c r="F92" s="21" t="str">
        <x:v>يضع ملف دولة فلسطين للبرية مقام النبي موسى ضمن المشهد الإسلامي المقدس ومسار الحج في المنطقة.</x:v>
      </x:c>
      <x:c r="G92" s="21" t="str">
        <x:v>W5-AUTH-UNESCO-EL-BARIYAH-001</x:v>
      </x:c>
      <x:c r="H92" s="21" t="str">
        <x:v>ACCEPTED_FOR_CANDIDATE_EDITORIAL_BASELINE</x:v>
      </x:c>
      <x:c r="I92" s="21" t="str">
        <x:v>TRIAGED_NOT_FULLY_CLEARED</x:v>
      </x:c>
      <x:c r="J92" s="21" t="str">
        <x:v>BLOCKED</x:v>
      </x:c>
      <x:c r="K92" s="21" t="str">
        <x:v>BLOCKED</x:v>
      </x:c>
    </x:row>
    <x:row r="93">
      <x:c r="A93" s="21" t="str">
        <x:v>ED-096</x:v>
      </x:c>
      <x:c r="B93" s="21" t="str">
        <x:v>site-c6731a990917-W4-C02R1</x:v>
      </x:c>
      <x:c r="C93" s="21" t="str">
        <x:v>site-c6731a990917</x:v>
      </x:c>
      <x:c r="D93" s="21" t="str">
        <x:v>tl-lfr-lmdyn-lkn-ny-c6731a</x:v>
      </x:c>
      <x:c r="E93" s="21" t="str">
        <x:v>تل الفارعة (المدينة الكنعانية)</x:v>
      </x:c>
      <x:c r="F93" s="21" t="str">
        <x:v>يوثق موقع مشروع تل الفارعة تسلسلاً استيطانياً يشمل العصرين البرونزي المبكر الأول والثاني، ويعرض دراسة العمارة والعمران والتسلسل الزمني ضمن محاور البحث الجاري في الموقع. أما تفاصيل مراحل التحصين فتظل مرتبطة بفحص تقارير الحفريات الكاملة.</x:v>
      </x:c>
      <x:c r="G93" s="21" t="str">
        <x:v>W4-AUTH-TELL-EL-FARA-PROJECT-2026; W4-ACADEMIC-EBAF-TELL-FARAH-CORPUS</x:v>
      </x:c>
      <x:c r="H93" s="21" t="str">
        <x:v>ACCEPTED_FOR_CANDIDATE_EDITORIAL_BASELINE</x:v>
      </x:c>
      <x:c r="I93" s="21" t="str">
        <x:v>TRIAGED_NOT_FULLY_CLEARED</x:v>
      </x:c>
      <x:c r="J93" s="21" t="str">
        <x:v>BLOCKED</x:v>
      </x:c>
      <x:c r="K93" s="21" t="str">
        <x:v>BLOCKED</x:v>
      </x:c>
    </x:row>
  </x:sheetData>
  <x:pageMargins left="0.7" right="0.7" top="0.75" bottom="0.75" header="0.3" footer="0.3"/>
  <x:tableParts count="1">
    <x:tablePart xmlns:r="http://schemas.openxmlformats.org/officeDocument/2006/relationships" r:id="Re7c4136f5e7a4b94"/>
  </x:tableParts>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18" hidden="0" customWidth="1"/>
    <x:col min="4" max="4" width="26" hidden="0" customWidth="1"/>
    <x:col min="5" max="5" width="18" hidden="0" customWidth="1"/>
    <x:col min="6" max="6" width="38" hidden="0" customWidth="1"/>
    <x:col min="7" max="7" width="18" hidden="0" customWidth="1"/>
    <x:col min="8" max="8" width="18" hidden="0" customWidth="1"/>
    <x:col min="9" max="9" width="38" hidden="0" customWidth="1"/>
    <x:col min="10" max="10" width="26" hidden="0" customWidth="1"/>
    <x:col min="11" max="11" width="18" hidden="0" customWidth="1"/>
    <x:col min="12" max="12" width="18" hidden="0" customWidth="1"/>
    <x:col min="13" max="13" width="18" hidden="0" customWidth="1"/>
    <x:col min="14" max="14" width="18" hidden="0" customWidth="1"/>
  </x:cols>
  <x:sheetData>
    <x:row r="1">
      <x:c r="A1" s="14" t="str">
        <x:v>priority_record_id</x:v>
      </x:c>
      <x:c r="B1" s="14" t="str">
        <x:v>held_claim_id</x:v>
      </x:c>
      <x:c r="C1" s="14" t="str">
        <x:v>canonical_site_id</x:v>
      </x:c>
      <x:c r="D1" s="14" t="str">
        <x:v>site_name_ar</x:v>
      </x:c>
      <x:c r="E1" s="14" t="str">
        <x:v>governorate_ar</x:v>
      </x:c>
      <x:c r="F1" s="14" t="str">
        <x:v>claim_text</x:v>
      </x:c>
      <x:c r="G1" s="14" t="str">
        <x:v>priority_score</x:v>
      </x:c>
      <x:c r="H1" s="14" t="str">
        <x:v>priority_tier</x:v>
      </x:c>
      <x:c r="I1" s="14" t="str">
        <x:v>research_categories</x:v>
      </x:c>
      <x:c r="J1" s="14" t="str">
        <x:v>research_status</x:v>
      </x:c>
      <x:c r="K1" s="14" t="str">
        <x:v>requires_live_web_refresh</x:v>
      </x:c>
      <x:c r="L1" s="14" t="str">
        <x:v>requires_field_or_geospatial_evidence</x:v>
      </x:c>
      <x:c r="M1" s="14" t="str">
        <x:v>database_import</x:v>
      </x:c>
      <x:c r="N1" s="14" t="str">
        <x:v>publication</x:v>
      </x:c>
    </x:row>
    <x:row r="2">
      <x:c r="A2" s="21" t="str">
        <x:v>HPR-031</x:v>
      </x:c>
      <x:c r="B2" s="21" t="str">
        <x:v>site-2310c1600481-W2-H03</x:v>
      </x:c>
      <x:c r="C2" s="21" t="str">
        <x:v>site-2310c1600481</x:v>
      </x:c>
      <x:c r="D2" s="21" t="str">
        <x:v>خان الحطب</x:v>
      </x:c>
      <x:c r="E2" s="21" t="str">
        <x:v>الخليل</x:v>
      </x:c>
      <x:c r="F2" s="21" t="str">
        <x:v>Location and ownership</x:v>
      </x:c>
      <x:c r="G2" s="21" t="n">
        <x:v>100</x:v>
      </x:c>
      <x:c r="H2" s="21" t="str">
        <x:v>P0_IMMEDIATE</x:v>
      </x:c>
      <x:c r="I2" s="21" t="str">
        <x:v>LEGAL_RIGHTS_ACCESS_OWNERSHIP; IDENTITY_LOCATION_BOUNDARY_COORDINATES</x:v>
      </x:c>
      <x:c r="J2" s="21" t="str">
        <x:v>OPEN</x:v>
      </x:c>
      <x:c r="K2" s="27" t="b">
        <x:v>1</x:v>
      </x:c>
      <x:c r="L2" s="27" t="b">
        <x:v>1</x:v>
      </x:c>
      <x:c r="M2" s="21" t="str">
        <x:v>BLOCKED</x:v>
      </x:c>
      <x:c r="N2" s="21" t="str">
        <x:v>BLOCKED</x:v>
      </x:c>
    </x:row>
    <x:row r="3">
      <x:c r="A3" s="21" t="str">
        <x:v>HPR-021</x:v>
      </x:c>
      <x:c r="B3" s="21" t="str">
        <x:v>site-3a3d3669f0ba-W2-H03</x:v>
      </x:c>
      <x:c r="C3" s="21" t="str">
        <x:v>site-3a3d3669f0ba</x:v>
      </x:c>
      <x:c r="D3" s="21" t="str">
        <x:v>مقام النبي داوود (جبل صهيون)</x:v>
      </x:c>
      <x:c r="E3" s="21" t="str">
        <x:v>القدس</x:v>
      </x:c>
      <x:c r="F3" s="21" t="str">
        <x:v>Current legal and access arrangements</x:v>
      </x:c>
      <x:c r="G3" s="21" t="n">
        <x:v>100</x:v>
      </x:c>
      <x:c r="H3" s="21" t="str">
        <x:v>P0_IMMEDIATE</x:v>
      </x:c>
      <x:c r="I3" s="21" t="str">
        <x:v>CURRENT_CONDITION_DAMAGE_SAFETY; LEGAL_RIGHTS_ACCESS_OWNERSHIP</x:v>
      </x:c>
      <x:c r="J3" s="21" t="str">
        <x:v>OPEN</x:v>
      </x:c>
      <x:c r="K3" s="27" t="b">
        <x:v>1</x:v>
      </x:c>
      <x:c r="L3" s="27" t="b">
        <x:v>1</x:v>
      </x:c>
      <x:c r="M3" s="21" t="str">
        <x:v>BLOCKED</x:v>
      </x:c>
      <x:c r="N3" s="21" t="str">
        <x:v>BLOCKED</x:v>
      </x:c>
    </x:row>
    <x:row r="4">
      <x:c r="A4" s="21" t="str">
        <x:v>HPR-015</x:v>
      </x:c>
      <x:c r="B4" s="21" t="str">
        <x:v>site-f7553f79288f-W2-H02</x:v>
      </x:c>
      <x:c r="C4" s="21" t="str">
        <x:v>site-f7553f79288f</x:v>
      </x:c>
      <x:c r="D4" s="21" t="str">
        <x:v>قصور المماليك (شارع الواد)</x:v>
      </x:c>
      <x:c r="E4" s="21" t="str">
        <x:v>القدس</x:v>
      </x:c>
      <x:c r="F4" s="21" t="str">
        <x:v>Individual dates, patrons, coordinates, and rights</x:v>
      </x:c>
      <x:c r="G4" s="21" t="n">
        <x:v>100</x:v>
      </x:c>
      <x:c r="H4" s="21" t="str">
        <x:v>P0_IMMEDIATE</x:v>
      </x:c>
      <x:c r="I4" s="21" t="str">
        <x:v>LEGAL_RIGHTS_ACCESS_OWNERSHIP; IDENTITY_LOCATION_BOUNDARY_COORDINATES; ARCHAEOLOGICAL_CHRONOLOGY</x:v>
      </x:c>
      <x:c r="J4" s="21" t="str">
        <x:v>OPEN</x:v>
      </x:c>
      <x:c r="K4" s="27" t="b">
        <x:v>1</x:v>
      </x:c>
      <x:c r="L4" s="27" t="b">
        <x:v>1</x:v>
      </x:c>
      <x:c r="M4" s="21" t="str">
        <x:v>BLOCKED</x:v>
      </x:c>
      <x:c r="N4" s="21" t="str">
        <x:v>BLOCKED</x:v>
      </x:c>
    </x:row>
    <x:row r="5">
      <x:c r="A5" s="21" t="str">
        <x:v>HPR-006</x:v>
      </x:c>
      <x:c r="B5" s="21" t="str">
        <x:v>site-f9067873c322-W2-H02</x:v>
      </x:c>
      <x:c r="C5" s="21" t="str">
        <x:v>site-f9067873c322</x:v>
      </x:c>
      <x:c r="D5" s="21" t="str">
        <x:v>حائط البراق</x:v>
      </x:c>
      <x:c r="E5" s="21" t="str">
        <x:v>القدس</x:v>
      </x:c>
      <x:c r="F5" s="21" t="str">
        <x:v>Current legal/ownership adjudication</x:v>
      </x:c>
      <x:c r="G5" s="21" t="n">
        <x:v>100</x:v>
      </x:c>
      <x:c r="H5" s="21" t="str">
        <x:v>P0_IMMEDIATE</x:v>
      </x:c>
      <x:c r="I5" s="21" t="str">
        <x:v>CURRENT_CONDITION_DAMAGE_SAFETY; LEGAL_RIGHTS_ACCESS_OWNERSHIP</x:v>
      </x:c>
      <x:c r="J5" s="21" t="str">
        <x:v>OPEN</x:v>
      </x:c>
      <x:c r="K5" s="27" t="b">
        <x:v>1</x:v>
      </x:c>
      <x:c r="L5" s="27" t="b">
        <x:v>1</x:v>
      </x:c>
      <x:c r="M5" s="21" t="str">
        <x:v>BLOCKED</x:v>
      </x:c>
      <x:c r="N5" s="21" t="str">
        <x:v>BLOCKED</x:v>
      </x:c>
    </x:row>
    <x:row r="6">
      <x:c r="A6" s="21" t="str">
        <x:v>HPR-055</x:v>
      </x:c>
      <x:c r="B6" s="21" t="str">
        <x:v>site-133155518939-W2-H03</x:v>
      </x:c>
      <x:c r="C6" s="21" t="str">
        <x:v>site-133155518939</x:v>
      </x:c>
      <x:c r="D6" s="21" t="str">
        <x:v>قصر هيروديون</x:v>
      </x:c>
      <x:c r="E6" s="21" t="str">
        <x:v>بيت لحم</x:v>
      </x:c>
      <x:c r="F6" s="21" t="str">
        <x:v>Detailed chronology and current access</x:v>
      </x:c>
      <x:c r="G6" s="21" t="n">
        <x:v>100</x:v>
      </x:c>
      <x:c r="H6" s="21" t="str">
        <x:v>P0_IMMEDIATE</x:v>
      </x:c>
      <x:c r="I6" s="21" t="str">
        <x:v>CURRENT_CONDITION_DAMAGE_SAFETY; LEGAL_RIGHTS_ACCESS_OWNERSHIP; ARCHAEOLOGICAL_CHRONOLOGY</x:v>
      </x:c>
      <x:c r="J6" s="21" t="str">
        <x:v>OPEN</x:v>
      </x:c>
      <x:c r="K6" s="27" t="b">
        <x:v>1</x:v>
      </x:c>
      <x:c r="L6" s="27" t="b">
        <x:v>1</x:v>
      </x:c>
      <x:c r="M6" s="21" t="str">
        <x:v>BLOCKED</x:v>
      </x:c>
      <x:c r="N6" s="21" t="str">
        <x:v>BLOCKED</x:v>
      </x:c>
    </x:row>
    <x:row r="7">
      <x:c r="A7" s="21" t="str">
        <x:v>HPR-116</x:v>
      </x:c>
      <x:c r="B7" s="21" t="str">
        <x:v>site-f2a7fbbda5a5-W4-H03</x:v>
      </x:c>
      <x:c r="C7" s="21" t="str">
        <x:v>site-f2a7fbbda5a5</x:v>
      </x:c>
      <x:c r="D7" s="21" t="str">
        <x:v>بلدة جنين القديمة</x:v>
      </x:c>
      <x:c r="E7" s="21" t="str">
        <x:v>جنين</x:v>
      </x:c>
      <x:c r="F7" s="21" t="str">
        <x:v>Condition of all components</x:v>
      </x:c>
      <x:c r="G7" s="21" t="n">
        <x:v>100</x:v>
      </x:c>
      <x:c r="H7" s="21" t="str">
        <x:v>P0_IMMEDIATE</x:v>
      </x:c>
      <x:c r="I7" s="21" t="str">
        <x:v>CURRENT_CONDITION_DAMAGE_SAFETY; INVENTORY_CONSTITUENTS</x:v>
      </x:c>
      <x:c r="J7" s="21" t="str">
        <x:v>OPEN</x:v>
      </x:c>
      <x:c r="K7" s="27" t="b">
        <x:v>1</x:v>
      </x:c>
      <x:c r="L7" s="27" t="b">
        <x:v>1</x:v>
      </x:c>
      <x:c r="M7" s="21" t="str">
        <x:v>BLOCKED</x:v>
      </x:c>
      <x:c r="N7" s="21" t="str">
        <x:v>BLOCKED</x:v>
      </x:c>
    </x:row>
    <x:row r="8">
      <x:c r="A8" s="21" t="str">
        <x:v>HPR-087</x:v>
      </x:c>
      <x:c r="B8" s="21" t="str">
        <x:v>site-0a78d22c1a69-W3-H01</x:v>
      </x:c>
      <x:c r="C8" s="21" t="str">
        <x:v>site-0a78d22c1a69</x:v>
      </x:c>
      <x:c r="D8" s="21" t="str">
        <x:v>خان يونس القديم</x:v>
      </x:c>
      <x:c r="E8" s="21" t="str">
        <x:v>خان يونس</x:v>
      </x:c>
      <x:c r="F8" s="21" t="str">
        <x:v>Old-town boundary and urban fabric</x:v>
      </x:c>
      <x:c r="G8" s="21" t="n">
        <x:v>100</x:v>
      </x:c>
      <x:c r="H8" s="21" t="str">
        <x:v>P0_IMMEDIATE</x:v>
      </x:c>
      <x:c r="I8" s="21" t="str">
        <x:v>IDENTITY_LOCATION_BOUNDARY_COORDINATES; INVENTORY_CONSTITUENTS</x:v>
      </x:c>
      <x:c r="J8" s="21" t="str">
        <x:v>OPEN</x:v>
      </x:c>
      <x:c r="K8" s="27" t="b">
        <x:v>0</x:v>
      </x:c>
      <x:c r="L8" s="27" t="b">
        <x:v>1</x:v>
      </x:c>
      <x:c r="M8" s="21" t="str">
        <x:v>BLOCKED</x:v>
      </x:c>
      <x:c r="N8" s="21" t="str">
        <x:v>BLOCKED</x:v>
      </x:c>
    </x:row>
    <x:row r="9">
      <x:c r="A9" s="21" t="str">
        <x:v>HPR-089</x:v>
      </x:c>
      <x:c r="B9" s="21" t="str">
        <x:v>site-0a78d22c1a69-W3-H03</x:v>
      </x:c>
      <x:c r="C9" s="21" t="str">
        <x:v>site-0a78d22c1a69</x:v>
      </x:c>
      <x:c r="D9" s="21" t="str">
        <x:v>خان يونس القديم</x:v>
      </x:c>
      <x:c r="E9" s="21" t="str">
        <x:v>خان يونس</x:v>
      </x:c>
      <x:c r="F9" s="21" t="str">
        <x:v>Current integrity of Khan Younis historic core</x:v>
      </x:c>
      <x:c r="G9" s="21" t="n">
        <x:v>100</x:v>
      </x:c>
      <x:c r="H9" s="21" t="str">
        <x:v>P0_IMMEDIATE</x:v>
      </x:c>
      <x:c r="I9" s="21" t="str">
        <x:v>CURRENT_CONDITION_DAMAGE_SAFETY</x:v>
      </x:c>
      <x:c r="J9" s="21" t="str">
        <x:v>OPEN</x:v>
      </x:c>
      <x:c r="K9" s="27" t="b">
        <x:v>1</x:v>
      </x:c>
      <x:c r="L9" s="27" t="b">
        <x:v>1</x:v>
      </x:c>
      <x:c r="M9" s="21" t="str">
        <x:v>BLOCKED</x:v>
      </x:c>
      <x:c r="N9" s="21" t="str">
        <x:v>BLOCKED</x:v>
      </x:c>
    </x:row>
    <x:row r="10">
      <x:c r="A10" s="21" t="str">
        <x:v>HPR-182</x:v>
      </x:c>
      <x:c r="B10" s="21" t="str">
        <x:v>site-014e4c4e4845-W5-H03</x:v>
      </x:c>
      <x:c r="C10" s="21" t="str">
        <x:v>site-014e4c4e4845</x:v>
      </x:c>
      <x:c r="D10" s="21" t="str">
        <x:v>عابود التاريخية</x:v>
      </x:c>
      <x:c r="E10" s="21" t="str">
        <x:v>رام الله والبيرة</x:v>
      </x:c>
      <x:c r="F10" s="21" t="str">
        <x:v>Current condition and rights for each component</x:v>
      </x:c>
      <x:c r="G10" s="21" t="n">
        <x:v>100</x:v>
      </x:c>
      <x:c r="H10" s="21" t="str">
        <x:v>P0_IMMEDIATE</x:v>
      </x:c>
      <x:c r="I10" s="21" t="str">
        <x:v>CURRENT_CONDITION_DAMAGE_SAFETY; LEGAL_RIGHTS_ACCESS_OWNERSHIP</x:v>
      </x:c>
      <x:c r="J10" s="21" t="str">
        <x:v>OPEN</x:v>
      </x:c>
      <x:c r="K10" s="27" t="b">
        <x:v>1</x:v>
      </x:c>
      <x:c r="L10" s="27" t="b">
        <x:v>1</x:v>
      </x:c>
      <x:c r="M10" s="21" t="str">
        <x:v>BLOCKED</x:v>
      </x:c>
      <x:c r="N10" s="21" t="str">
        <x:v>BLOCKED</x:v>
      </x:c>
    </x:row>
    <x:row r="11">
      <x:c r="A11" s="21" t="str">
        <x:v>HPR-178</x:v>
      </x:c>
      <x:c r="B11" s="21" t="str">
        <x:v>site-e2a5c15f76f6-W5-H02</x:v>
      </x:c>
      <x:c r="C11" s="21" t="str">
        <x:v>site-e2a5c15f76f6</x:v>
      </x:c>
      <x:c r="D11" s="21" t="str">
        <x:v>بلدة بيرزيت القديمة</x:v>
      </x:c>
      <x:c r="E11" s="21" t="str">
        <x:v>رام الله والبيرة</x:v>
      </x:c>
      <x:c r="F11" s="21" t="str">
        <x:v>Exact castle identity, date, and surviving fabric</x:v>
      </x:c>
      <x:c r="G11" s="21" t="n">
        <x:v>100</x:v>
      </x:c>
      <x:c r="H11" s="21" t="str">
        <x:v>P0_IMMEDIATE</x:v>
      </x:c>
      <x:c r="I11" s="21" t="str">
        <x:v>CURRENT_CONDITION_DAMAGE_SAFETY; IDENTITY_LOCATION_BOUNDARY_COORDINATES; ARCHAEOLOGICAL_CHRONOLOGY</x:v>
      </x:c>
      <x:c r="J11" s="21" t="str">
        <x:v>OPEN</x:v>
      </x:c>
      <x:c r="K11" s="27" t="b">
        <x:v>1</x:v>
      </x:c>
      <x:c r="L11" s="27" t="b">
        <x:v>1</x:v>
      </x:c>
      <x:c r="M11" s="21" t="str">
        <x:v>BLOCKED</x:v>
      </x:c>
      <x:c r="N11" s="21" t="str">
        <x:v>BLOCKED</x:v>
      </x:c>
    </x:row>
    <x:row r="12">
      <x:c r="A12" s="21" t="str">
        <x:v>HPR-090</x:v>
      </x:c>
      <x:c r="B12" s="21" t="str">
        <x:v>site-ee0e5bf1f753-W3-H01</x:v>
      </x:c>
      <x:c r="C12" s="21" t="str">
        <x:v>site-ee0e5bf1f753</x:v>
      </x:c>
      <x:c r="D12" s="21" t="str">
        <x:v>رفح التاريخية</x:v>
      </x:c>
      <x:c r="E12" s="21" t="str">
        <x:v>رفح</x:v>
      </x:c>
      <x:c r="F12" s="21" t="str">
        <x:v>Exact Tell Rafah chronology and boundary</x:v>
      </x:c>
      <x:c r="G12" s="21" t="n">
        <x:v>100</x:v>
      </x:c>
      <x:c r="H12" s="21" t="str">
        <x:v>P0_IMMEDIATE</x:v>
      </x:c>
      <x:c r="I12" s="21" t="str">
        <x:v>IDENTITY_LOCATION_BOUNDARY_COORDINATES; ARCHAEOLOGICAL_CHRONOLOGY</x:v>
      </x:c>
      <x:c r="J12" s="21" t="str">
        <x:v>OPEN</x:v>
      </x:c>
      <x:c r="K12" s="27" t="b">
        <x:v>0</x:v>
      </x:c>
      <x:c r="L12" s="27" t="b">
        <x:v>1</x:v>
      </x:c>
      <x:c r="M12" s="21" t="str">
        <x:v>BLOCKED</x:v>
      </x:c>
      <x:c r="N12" s="21" t="str">
        <x:v>BLOCKED</x:v>
      </x:c>
    </x:row>
    <x:row r="13">
      <x:c r="A13" s="21" t="str">
        <x:v>HPR-092</x:v>
      </x:c>
      <x:c r="B13" s="21" t="str">
        <x:v>site-ee0e5bf1f753-W3-H03</x:v>
      </x:c>
      <x:c r="C13" s="21" t="str">
        <x:v>site-ee0e5bf1f753</x:v>
      </x:c>
      <x:c r="D13" s="21" t="str">
        <x:v>رفح التاريخية</x:v>
      </x:c>
      <x:c r="E13" s="21" t="str">
        <x:v>رفح</x:v>
      </x:c>
      <x:c r="F13" s="21" t="str">
        <x:v>Current damage severity beyond UNESCO's verification</x:v>
      </x:c>
      <x:c r="G13" s="21" t="n">
        <x:v>100</x:v>
      </x:c>
      <x:c r="H13" s="21" t="str">
        <x:v>P0_IMMEDIATE</x:v>
      </x:c>
      <x:c r="I13" s="21" t="str">
        <x:v>CURRENT_CONDITION_DAMAGE_SAFETY</x:v>
      </x:c>
      <x:c r="J13" s="21" t="str">
        <x:v>OPEN</x:v>
      </x:c>
      <x:c r="K13" s="27" t="b">
        <x:v>1</x:v>
      </x:c>
      <x:c r="L13" s="27" t="b">
        <x:v>1</x:v>
      </x:c>
      <x:c r="M13" s="21" t="str">
        <x:v>BLOCKED</x:v>
      </x:c>
      <x:c r="N13" s="21" t="str">
        <x:v>BLOCKED</x:v>
      </x:c>
    </x:row>
    <x:row r="14">
      <x:c r="A14" s="21" t="str">
        <x:v>HPR-169</x:v>
      </x:c>
      <x:c r="B14" s="21" t="str">
        <x:v>site-c6731a990917-W4-H03</x:v>
      </x:c>
      <x:c r="C14" s="21" t="str">
        <x:v>site-c6731a990917</x:v>
      </x:c>
      <x:c r="D14" s="21" t="str">
        <x:v>تل الفارعة (المدينة الكنعانية)</x:v>
      </x:c>
      <x:c r="E14" s="21" t="str">
        <x:v>طوباس</x:v>
      </x:c>
      <x:c r="F14" s="21" t="str">
        <x:v>Current condition and boundary</x:v>
      </x:c>
      <x:c r="G14" s="21" t="n">
        <x:v>100</x:v>
      </x:c>
      <x:c r="H14" s="21" t="str">
        <x:v>P0_IMMEDIATE</x:v>
      </x:c>
      <x:c r="I14" s="21" t="str">
        <x:v>CURRENT_CONDITION_DAMAGE_SAFETY; IDENTITY_LOCATION_BOUNDARY_COORDINATES</x:v>
      </x:c>
      <x:c r="J14" s="21" t="str">
        <x:v>OPEN</x:v>
      </x:c>
      <x:c r="K14" s="27" t="b">
        <x:v>1</x:v>
      </x:c>
      <x:c r="L14" s="27" t="b">
        <x:v>1</x:v>
      </x:c>
      <x:c r="M14" s="21" t="str">
        <x:v>BLOCKED</x:v>
      </x:c>
      <x:c r="N14" s="21" t="str">
        <x:v>BLOCKED</x:v>
      </x:c>
    </x:row>
    <x:row r="15">
      <x:c r="A15" s="21" t="str">
        <x:v>HPR-078</x:v>
      </x:c>
      <x:c r="B15" s="21" t="str">
        <x:v>site-015f495c4236-W3-H02</x:v>
      </x:c>
      <x:c r="C15" s="21" t="str">
        <x:v>site-015f495c4236</x:v>
      </x:c>
      <x:c r="D15" s="21" t="str">
        <x:v>مدينة غزة القديمة</x:v>
      </x:c>
      <x:c r="E15" s="21" t="str">
        <x:v>غزة</x:v>
      </x:c>
      <x:c r="F15" s="21" t="str">
        <x:v>Current integrity of the 1.7 km² property</x:v>
      </x:c>
      <x:c r="G15" s="21" t="n">
        <x:v>100</x:v>
      </x:c>
      <x:c r="H15" s="21" t="str">
        <x:v>P0_IMMEDIATE</x:v>
      </x:c>
      <x:c r="I15" s="21" t="str">
        <x:v>CURRENT_CONDITION_DAMAGE_SAFETY</x:v>
      </x:c>
      <x:c r="J15" s="21" t="str">
        <x:v>OPEN</x:v>
      </x:c>
      <x:c r="K15" s="27" t="b">
        <x:v>1</x:v>
      </x:c>
      <x:c r="L15" s="27" t="b">
        <x:v>1</x:v>
      </x:c>
      <x:c r="M15" s="21" t="str">
        <x:v>BLOCKED</x:v>
      </x:c>
      <x:c r="N15" s="21" t="str">
        <x:v>BLOCKED</x:v>
      </x:c>
    </x:row>
    <x:row r="16">
      <x:c r="A16" s="21" t="str">
        <x:v>HPR-067</x:v>
      </x:c>
      <x:c r="B16" s="21" t="str">
        <x:v>site-21150eefdea6-W3-H03</x:v>
      </x:c>
      <x:c r="C16" s="21" t="str">
        <x:v>site-21150eefdea6</x:v>
      </x:c>
      <x:c r="D16" s="21" t="str">
        <x:v>تل العجول</x:v>
      </x:c>
      <x:c r="E16" s="21" t="str">
        <x:v>غزة</x:v>
      </x:c>
      <x:c r="F16" s="21" t="str">
        <x:v>Current damage severity and site boundary</x:v>
      </x:c>
      <x:c r="G16" s="21" t="n">
        <x:v>100</x:v>
      </x:c>
      <x:c r="H16" s="21" t="str">
        <x:v>P0_IMMEDIATE</x:v>
      </x:c>
      <x:c r="I16" s="21" t="str">
        <x:v>CURRENT_CONDITION_DAMAGE_SAFETY; IDENTITY_LOCATION_BOUNDARY_COORDINATES</x:v>
      </x:c>
      <x:c r="J16" s="21" t="str">
        <x:v>OPEN</x:v>
      </x:c>
      <x:c r="K16" s="27" t="b">
        <x:v>1</x:v>
      </x:c>
      <x:c r="L16" s="27" t="b">
        <x:v>1</x:v>
      </x:c>
      <x:c r="M16" s="21" t="str">
        <x:v>BLOCKED</x:v>
      </x:c>
      <x:c r="N16" s="21" t="str">
        <x:v>BLOCKED</x:v>
      </x:c>
    </x:row>
    <x:row r="17">
      <x:c r="A17" s="21" t="str">
        <x:v>HPR-063</x:v>
      </x:c>
      <x:c r="B17" s="21" t="str">
        <x:v>site-2e45744cdab4-W3-H02</x:v>
      </x:c>
      <x:c r="C17" s="21" t="str">
        <x:v>site-2e45744cdab4</x:v>
      </x:c>
      <x:c r="D17" s="21" t="str">
        <x:v>المسجد العمري الكبير</x:v>
      </x:c>
      <x:c r="E17" s="21" t="str">
        <x:v>غزة</x:v>
      </x:c>
      <x:c r="F17" s="21" t="str">
        <x:v>Exact destruction severity and surviving fabric</x:v>
      </x:c>
      <x:c r="G17" s="21" t="n">
        <x:v>100</x:v>
      </x:c>
      <x:c r="H17" s="21" t="str">
        <x:v>P0_IMMEDIATE</x:v>
      </x:c>
      <x:c r="I17" s="21" t="str">
        <x:v>CURRENT_CONDITION_DAMAGE_SAFETY</x:v>
      </x:c>
      <x:c r="J17" s="21" t="str">
        <x:v>OPEN</x:v>
      </x:c>
      <x:c r="K17" s="27" t="b">
        <x:v>1</x:v>
      </x:c>
      <x:c r="L17" s="27" t="b">
        <x:v>1</x:v>
      </x:c>
      <x:c r="M17" s="21" t="str">
        <x:v>BLOCKED</x:v>
      </x:c>
      <x:c r="N17" s="21" t="str">
        <x:v>BLOCKED</x:v>
      </x:c>
    </x:row>
    <x:row r="18">
      <x:c r="A18" s="21" t="str">
        <x:v>HPR-064</x:v>
      </x:c>
      <x:c r="B18" s="21" t="str">
        <x:v>site-2e45744cdab4-W3-H03</x:v>
      </x:c>
      <x:c r="C18" s="21" t="str">
        <x:v>site-2e45744cdab4</x:v>
      </x:c>
      <x:c r="D18" s="21" t="str">
        <x:v>المسجد العمري الكبير</x:v>
      </x:c>
      <x:c r="E18" s="21" t="str">
        <x:v>غزة</x:v>
      </x:c>
      <x:c r="F18" s="21" t="str">
        <x:v>Current reconstruction status</x:v>
      </x:c>
      <x:c r="G18" s="21" t="n">
        <x:v>100</x:v>
      </x:c>
      <x:c r="H18" s="21" t="str">
        <x:v>P0_IMMEDIATE</x:v>
      </x:c>
      <x:c r="I18" s="21" t="str">
        <x:v>CURRENT_CONDITION_DAMAGE_SAFETY; ARCHAEOLOGICAL_CHRONOLOGY</x:v>
      </x:c>
      <x:c r="J18" s="21" t="str">
        <x:v>OPEN</x:v>
      </x:c>
      <x:c r="K18" s="27" t="b">
        <x:v>1</x:v>
      </x:c>
      <x:c r="L18" s="27" t="b">
        <x:v>1</x:v>
      </x:c>
      <x:c r="M18" s="21" t="str">
        <x:v>BLOCKED</x:v>
      </x:c>
      <x:c r="N18" s="21" t="str">
        <x:v>BLOCKED</x:v>
      </x:c>
    </x:row>
    <x:row r="19">
      <x:c r="A19" s="21" t="str">
        <x:v>HPR-069</x:v>
      </x:c>
      <x:c r="B19" s="21" t="str">
        <x:v>site-3ded44be126d-W3-H02</x:v>
      </x:c>
      <x:c r="C19" s="21" t="str">
        <x:v>site-3ded44be126d</x:v>
      </x:c>
      <x:c r="D19" s="21" t="str">
        <x:v>حمام السمرة</x:v>
      </x:c>
      <x:c r="E19" s="21" t="str">
        <x:v>غزة</x:v>
      </x:c>
      <x:c r="F19" s="21" t="str">
        <x:v>Exact destruction severity in 2026</x:v>
      </x:c>
      <x:c r="G19" s="21" t="n">
        <x:v>100</x:v>
      </x:c>
      <x:c r="H19" s="21" t="str">
        <x:v>P0_IMMEDIATE</x:v>
      </x:c>
      <x:c r="I19" s="21" t="str">
        <x:v>CURRENT_CONDITION_DAMAGE_SAFETY</x:v>
      </x:c>
      <x:c r="J19" s="21" t="str">
        <x:v>OPEN</x:v>
      </x:c>
      <x:c r="K19" s="27" t="b">
        <x:v>1</x:v>
      </x:c>
      <x:c r="L19" s="27" t="b">
        <x:v>1</x:v>
      </x:c>
      <x:c r="M19" s="21" t="str">
        <x:v>BLOCKED</x:v>
      </x:c>
      <x:c r="N19" s="21" t="str">
        <x:v>BLOCKED</x:v>
      </x:c>
    </x:row>
    <x:row r="20">
      <x:c r="A20" s="21" t="str">
        <x:v>HPR-070</x:v>
      </x:c>
      <x:c r="B20" s="21" t="str">
        <x:v>site-3ded44be126d-W3-H03</x:v>
      </x:c>
      <x:c r="C20" s="21" t="str">
        <x:v>site-3ded44be126d</x:v>
      </x:c>
      <x:c r="D20" s="21" t="str">
        <x:v>حمام السمرة</x:v>
      </x:c>
      <x:c r="E20" s="21" t="str">
        <x:v>غزة</x:v>
      </x:c>
      <x:c r="F20" s="21" t="str">
        <x:v>Pre-damage architectural phase chronology</x:v>
      </x:c>
      <x:c r="G20" s="21" t="n">
        <x:v>100</x:v>
      </x:c>
      <x:c r="H20" s="21" t="str">
        <x:v>P0_IMMEDIATE</x:v>
      </x:c>
      <x:c r="I20" s="21" t="str">
        <x:v>CURRENT_CONDITION_DAMAGE_SAFETY; ARCHAEOLOGICAL_CHRONOLOGY</x:v>
      </x:c>
      <x:c r="J20" s="21" t="str">
        <x:v>OPEN</x:v>
      </x:c>
      <x:c r="K20" s="27" t="b">
        <x:v>1</x:v>
      </x:c>
      <x:c r="L20" s="27" t="b">
        <x:v>1</x:v>
      </x:c>
      <x:c r="M20" s="21" t="str">
        <x:v>BLOCKED</x:v>
      </x:c>
      <x:c r="N20" s="21" t="str">
        <x:v>BLOCKED</x:v>
      </x:c>
    </x:row>
    <x:row r="21">
      <x:c r="A21" s="21" t="str">
        <x:v>HPR-073</x:v>
      </x:c>
      <x:c r="B21" s="21" t="str">
        <x:v>site-5e98cf44d976-W3-H03</x:v>
      </x:c>
      <x:c r="C21" s="21" t="str">
        <x:v>site-5e98cf44d976</x:v>
      </x:c>
      <x:c r="D21" s="21" t="str">
        <x:v>قلعة برقوق</x:v>
      </x:c>
      <x:c r="E21" s="21" t="str">
        <x:v>غزة</x:v>
      </x:c>
      <x:c r="F21" s="21" t="str">
        <x:v>Current structural stability</x:v>
      </x:c>
      <x:c r="G21" s="21" t="n">
        <x:v>100</x:v>
      </x:c>
      <x:c r="H21" s="21" t="str">
        <x:v>P0_IMMEDIATE</x:v>
      </x:c>
      <x:c r="I21" s="21" t="str">
        <x:v>CURRENT_CONDITION_DAMAGE_SAFETY</x:v>
      </x:c>
      <x:c r="J21" s="21" t="str">
        <x:v>OPEN</x:v>
      </x:c>
      <x:c r="K21" s="27" t="b">
        <x:v>1</x:v>
      </x:c>
      <x:c r="L21" s="27" t="b">
        <x:v>1</x:v>
      </x:c>
      <x:c r="M21" s="21" t="str">
        <x:v>BLOCKED</x:v>
      </x:c>
      <x:c r="N21" s="21" t="str">
        <x:v>BLOCKED</x:v>
      </x:c>
    </x:row>
    <x:row r="22">
      <x:c r="A22" s="21" t="str">
        <x:v>HPR-076</x:v>
      </x:c>
      <x:c r="B22" s="21" t="str">
        <x:v>site-e1e3de7b8519-W3-H03</x:v>
      </x:c>
      <x:c r="C22" s="21" t="str">
        <x:v>site-e1e3de7b8519</x:v>
      </x:c>
      <x:c r="D22" s="21" t="str">
        <x:v>كنيسة القديس برفيريوس</x:v>
      </x:c>
      <x:c r="E22" s="21" t="str">
        <x:v>غزة</x:v>
      </x:c>
      <x:c r="F22" s="21" t="str">
        <x:v>Current structural safety</x:v>
      </x:c>
      <x:c r="G22" s="21" t="n">
        <x:v>100</x:v>
      </x:c>
      <x:c r="H22" s="21" t="str">
        <x:v>P0_IMMEDIATE</x:v>
      </x:c>
      <x:c r="I22" s="21" t="str">
        <x:v>CURRENT_CONDITION_DAMAGE_SAFETY</x:v>
      </x:c>
      <x:c r="J22" s="21" t="str">
        <x:v>OPEN</x:v>
      </x:c>
      <x:c r="K22" s="27" t="b">
        <x:v>1</x:v>
      </x:c>
      <x:c r="L22" s="27" t="b">
        <x:v>1</x:v>
      </x:c>
      <x:c r="M22" s="21" t="str">
        <x:v>BLOCKED</x:v>
      </x:c>
      <x:c r="N22" s="21" t="str">
        <x:v>BLOCKED</x:v>
      </x:c>
    </x:row>
    <x:row r="23">
      <x:c r="A23" s="21" t="str">
        <x:v>HPR-102</x:v>
      </x:c>
      <x:c r="B23" s="21" t="str">
        <x:v>site-160c60c7b952-W4-H02</x:v>
      </x:c>
      <x:c r="C23" s="21" t="str">
        <x:v>site-160c60c7b952</x:v>
      </x:c>
      <x:c r="D23" s="21" t="str">
        <x:v>حارة الياسمينة</x:v>
      </x:c>
      <x:c r="E23" s="21" t="str">
        <x:v>نابلس</x:v>
      </x:c>
      <x:c r="F23" s="21" t="str">
        <x:v>Condition of all buildings</x:v>
      </x:c>
      <x:c r="G23" s="21" t="n">
        <x:v>100</x:v>
      </x:c>
      <x:c r="H23" s="21" t="str">
        <x:v>P0_IMMEDIATE</x:v>
      </x:c>
      <x:c r="I23" s="21" t="str">
        <x:v>CURRENT_CONDITION_DAMAGE_SAFETY; INVENTORY_CONSTITUENTS</x:v>
      </x:c>
      <x:c r="J23" s="21" t="str">
        <x:v>OPEN</x:v>
      </x:c>
      <x:c r="K23" s="27" t="b">
        <x:v>1</x:v>
      </x:c>
      <x:c r="L23" s="27" t="b">
        <x:v>1</x:v>
      </x:c>
      <x:c r="M23" s="21" t="str">
        <x:v>BLOCKED</x:v>
      </x:c>
      <x:c r="N23" s="21" t="str">
        <x:v>BLOCKED</x:v>
      </x:c>
    </x:row>
    <x:row r="24">
      <x:c r="A24" s="21" t="str">
        <x:v>HPR-185</x:v>
      </x:c>
      <x:c r="B24" s="21" t="str">
        <x:v>site-28dd528f5f3a-W5-H03</x:v>
      </x:c>
      <x:c r="C24" s="21" t="str">
        <x:v>site-28dd528f5f3a</x:v>
      </x:c>
      <x:c r="D24" s="21" t="str">
        <x:v>دير عمار</x:v>
      </x:c>
      <x:c r="E24" s="21" t="str">
        <x:v>رام الله والبيرة</x:v>
      </x:c>
      <x:c r="F24" s="21" t="str">
        <x:v>Constituent monuments and historic boundary</x:v>
      </x:c>
      <x:c r="G24" s="21" t="n">
        <x:v>95</x:v>
      </x:c>
      <x:c r="H24" s="21" t="str">
        <x:v>P0_IMMEDIATE</x:v>
      </x:c>
      <x:c r="I24" s="21" t="str">
        <x:v>IDENTITY_LOCATION_BOUNDARY_COORDINATES; INVENTORY_CONSTITUENTS</x:v>
      </x:c>
      <x:c r="J24" s="21" t="str">
        <x:v>OPEN</x:v>
      </x:c>
      <x:c r="K24" s="27" t="b">
        <x:v>0</x:v>
      </x:c>
      <x:c r="L24" s="27" t="b">
        <x:v>1</x:v>
      </x:c>
      <x:c r="M24" s="21" t="str">
        <x:v>BLOCKED</x:v>
      </x:c>
      <x:c r="N24" s="21" t="str">
        <x:v>BLOCKED</x:v>
      </x:c>
    </x:row>
    <x:row r="25">
      <x:c r="A25" s="21" t="str">
        <x:v>HPR-101</x:v>
      </x:c>
      <x:c r="B25" s="21" t="str">
        <x:v>site-160c60c7b952-W4-H01</x:v>
      </x:c>
      <x:c r="C25" s="21" t="str">
        <x:v>site-160c60c7b952</x:v>
      </x:c>
      <x:c r="D25" s="21" t="str">
        <x:v>حارة الياسمينة</x:v>
      </x:c>
      <x:c r="E25" s="21" t="str">
        <x:v>نابلس</x:v>
      </x:c>
      <x:c r="F25" s="21" t="str">
        <x:v>Complete quarter boundary</x:v>
      </x:c>
      <x:c r="G25" s="21" t="n">
        <x:v>95</x:v>
      </x:c>
      <x:c r="H25" s="21" t="str">
        <x:v>P0_IMMEDIATE</x:v>
      </x:c>
      <x:c r="I25" s="21" t="str">
        <x:v>IDENTITY_LOCATION_BOUNDARY_COORDINATES; INVENTORY_CONSTITUENTS</x:v>
      </x:c>
      <x:c r="J25" s="21" t="str">
        <x:v>OPEN</x:v>
      </x:c>
      <x:c r="K25" s="27" t="b">
        <x:v>0</x:v>
      </x:c>
      <x:c r="L25" s="27" t="b">
        <x:v>1</x:v>
      </x:c>
      <x:c r="M25" s="21" t="str">
        <x:v>BLOCKED</x:v>
      </x:c>
      <x:c r="N25" s="21" t="str">
        <x:v>BLOCKED</x:v>
      </x:c>
    </x:row>
    <x:row r="26">
      <x:c r="A26" s="21" t="str">
        <x:v>HPR-026</x:v>
      </x:c>
      <x:c r="B26" s="21" t="str">
        <x:v>site-63c0ba59c24e-W2-H02</x:v>
      </x:c>
      <x:c r="C26" s="21" t="str">
        <x:v>site-63c0ba59c24e</x:v>
      </x:c>
      <x:c r="D26" s="21" t="str">
        <x:v>تل الرميدة</x:v>
      </x:c>
      <x:c r="E26" s="21" t="str">
        <x:v>الخليل</x:v>
      </x:c>
      <x:c r="F26" s="21" t="str">
        <x:v>Current excavation and preservation conditions</x:v>
      </x:c>
      <x:c r="G26" s="21" t="n">
        <x:v>90</x:v>
      </x:c>
      <x:c r="H26" s="21" t="str">
        <x:v>P0_IMMEDIATE</x:v>
      </x:c>
      <x:c r="I26" s="21" t="str">
        <x:v>CURRENT_CONDITION_DAMAGE_SAFETY; ARCHAEOLOGICAL_CHRONOLOGY</x:v>
      </x:c>
      <x:c r="J26" s="21" t="str">
        <x:v>OPEN</x:v>
      </x:c>
      <x:c r="K26" s="27" t="b">
        <x:v>1</x:v>
      </x:c>
      <x:c r="L26" s="27" t="b">
        <x:v>1</x:v>
      </x:c>
      <x:c r="M26" s="21" t="str">
        <x:v>BLOCKED</x:v>
      </x:c>
      <x:c r="N26" s="21" t="str">
        <x:v>BLOCKED</x:v>
      </x:c>
    </x:row>
    <x:row r="27">
      <x:c r="A27" s="21" t="str">
        <x:v>HPR-039</x:v>
      </x:c>
      <x:c r="B27" s="21" t="str">
        <x:v>site-d2c9e9bc9652-W2-H02</x:v>
      </x:c>
      <x:c r="C27" s="21" t="str">
        <x:v>site-d2c9e9bc9652</x:v>
      </x:c>
      <x:c r="D27" s="21" t="str">
        <x:v>قلعة الكرمل (دير سامت)</x:v>
      </x:c>
      <x:c r="E27" s="21" t="str">
        <x:v>الخليل</x:v>
      </x:c>
      <x:c r="F27" s="21" t="str">
        <x:v>Exact identity and location</x:v>
      </x:c>
      <x:c r="G27" s="21" t="n">
        <x:v>90</x:v>
      </x:c>
      <x:c r="H27" s="21" t="str">
        <x:v>P0_IMMEDIATE</x:v>
      </x:c>
      <x:c r="I27" s="21" t="str">
        <x:v>IDENTITY_LOCATION_BOUNDARY_COORDINATES</x:v>
      </x:c>
      <x:c r="J27" s="21" t="str">
        <x:v>OPEN</x:v>
      </x:c>
      <x:c r="K27" s="27" t="b">
        <x:v>0</x:v>
      </x:c>
      <x:c r="L27" s="27" t="b">
        <x:v>1</x:v>
      </x:c>
      <x:c r="M27" s="21" t="str">
        <x:v>BLOCKED</x:v>
      </x:c>
      <x:c r="N27" s="21" t="str">
        <x:v>BLOCKED</x:v>
      </x:c>
    </x:row>
    <x:row r="28">
      <x:c r="A28" s="21" t="str">
        <x:v>HPR-001</x:v>
      </x:c>
      <x:c r="B28" s="21" t="str">
        <x:v>site-4aeec5656d1d-W1-H01</x:v>
      </x:c>
      <x:c r="C28" s="21" t="str">
        <x:v>site-4aeec5656d1d</x:v>
      </x:c>
      <x:c r="D28" s="21" t="str">
        <x:v>المسجد الأقصى المبارك / الحرم القدسي الشريف</x:v>
      </x:c>
      <x:c r="E28" s="21" t="str">
        <x:v>القدس</x:v>
      </x:c>
      <x:c r="F28" s="21" t="str">
        <x:v>claims about a Canaanite temple, exact location of ancient temples, absence/presence of archaeological evidence under the compound, and effects of excavations on foundations</x:v>
      </x:c>
      <x:c r="G28" s="21" t="n">
        <x:v>90</x:v>
      </x:c>
      <x:c r="H28" s="21" t="str">
        <x:v>P0_IMMEDIATE</x:v>
      </x:c>
      <x:c r="I28" s="21" t="str">
        <x:v>IDENTITY_LOCATION_BOUNDARY_COORDINATES; ARCHAEOLOGICAL_CHRONOLOGY; RELIGIOUS_ATTRIBUTION_CONTESTED</x:v>
      </x:c>
      <x:c r="J28" s="21" t="str">
        <x:v>OPEN</x:v>
      </x:c>
      <x:c r="K28" s="27" t="b">
        <x:v>0</x:v>
      </x:c>
      <x:c r="L28" s="27" t="b">
        <x:v>1</x:v>
      </x:c>
      <x:c r="M28" s="21" t="str">
        <x:v>BLOCKED</x:v>
      </x:c>
      <x:c r="N28" s="21" t="str">
        <x:v>BLOCKED</x:v>
      </x:c>
    </x:row>
    <x:row r="29">
      <x:c r="A29" s="21" t="str">
        <x:v>HPR-004</x:v>
      </x:c>
      <x:c r="B29" s="21" t="str">
        <x:v>site-f9df0c7e708c-W2-H02</x:v>
      </x:c>
      <x:c r="C29" s="21" t="str">
        <x:v>site-f9df0c7e708c</x:v>
      </x:c>
      <x:c r="D29" s="21" t="str">
        <x:v>بلدة سلوان</x:v>
      </x:c>
      <x:c r="E29" s="21" t="str">
        <x:v>القدس</x:v>
      </x:c>
      <x:c r="F29" s="21" t="str">
        <x:v>Specific excavation impacts and current physical condition</x:v>
      </x:c>
      <x:c r="G29" s="21" t="n">
        <x:v>90</x:v>
      </x:c>
      <x:c r="H29" s="21" t="str">
        <x:v>P0_IMMEDIATE</x:v>
      </x:c>
      <x:c r="I29" s="21" t="str">
        <x:v>CURRENT_CONDITION_DAMAGE_SAFETY; ARCHAEOLOGICAL_CHRONOLOGY</x:v>
      </x:c>
      <x:c r="J29" s="21" t="str">
        <x:v>OPEN</x:v>
      </x:c>
      <x:c r="K29" s="27" t="b">
        <x:v>1</x:v>
      </x:c>
      <x:c r="L29" s="27" t="b">
        <x:v>1</x:v>
      </x:c>
      <x:c r="M29" s="21" t="str">
        <x:v>BLOCKED</x:v>
      </x:c>
      <x:c r="N29" s="21" t="str">
        <x:v>BLOCKED</x:v>
      </x:c>
    </x:row>
    <x:row r="30">
      <x:c r="A30" s="21" t="str">
        <x:v>HPR-080</x:v>
      </x:c>
      <x:c r="B30" s="21" t="str">
        <x:v>site-a77381cd3cae-W3-H01</x:v>
      </x:c>
      <x:c r="C30" s="21" t="str">
        <x:v>site-a77381cd3cae</x:v>
      </x:c>
      <x:c r="D30" s="21" t="str">
        <x:v>مقام الشيخ رضوان</x:v>
      </x:c>
      <x:c r="E30" s="21" t="str">
        <x:v>غزة</x:v>
      </x:c>
      <x:c r="F30" s="21" t="str">
        <x:v>Exact identity and location</x:v>
      </x:c>
      <x:c r="G30" s="21" t="n">
        <x:v>90</x:v>
      </x:c>
      <x:c r="H30" s="21" t="str">
        <x:v>P0_IMMEDIATE</x:v>
      </x:c>
      <x:c r="I30" s="21" t="str">
        <x:v>IDENTITY_LOCATION_BOUNDARY_COORDINATES</x:v>
      </x:c>
      <x:c r="J30" s="21" t="str">
        <x:v>OPEN</x:v>
      </x:c>
      <x:c r="K30" s="27" t="b">
        <x:v>0</x:v>
      </x:c>
      <x:c r="L30" s="27" t="b">
        <x:v>1</x:v>
      </x:c>
      <x:c r="M30" s="21" t="str">
        <x:v>BLOCKED</x:v>
      </x:c>
      <x:c r="N30" s="21" t="str">
        <x:v>BLOCKED</x:v>
      </x:c>
    </x:row>
    <x:row r="31">
      <x:c r="A31" s="21" t="str">
        <x:v>HPR-098</x:v>
      </x:c>
      <x:c r="B31" s="21" t="str">
        <x:v>site-a429c345ac25-W4-H03</x:v>
      </x:c>
      <x:c r="C31" s="21" t="str">
        <x:v>site-a429c345ac25</x:v>
      </x:c>
      <x:c r="D31" s="21" t="str">
        <x:v>جامع النصر</x:v>
      </x:c>
      <x:c r="E31" s="21" t="str">
        <x:v>نابلس</x:v>
      </x:c>
      <x:c r="F31" s="21" t="str">
        <x:v>Reconstruction history</x:v>
      </x:c>
      <x:c r="G31" s="21" t="n">
        <x:v>90</x:v>
      </x:c>
      <x:c r="H31" s="21" t="str">
        <x:v>P0_IMMEDIATE</x:v>
      </x:c>
      <x:c r="I31" s="21" t="str">
        <x:v>CURRENT_CONDITION_DAMAGE_SAFETY; ARCHAEOLOGICAL_CHRONOLOGY</x:v>
      </x:c>
      <x:c r="J31" s="21" t="str">
        <x:v>OPEN</x:v>
      </x:c>
      <x:c r="K31" s="27" t="b">
        <x:v>1</x:v>
      </x:c>
      <x:c r="L31" s="27" t="b">
        <x:v>1</x:v>
      </x:c>
      <x:c r="M31" s="21" t="str">
        <x:v>BLOCKED</x:v>
      </x:c>
      <x:c r="N31" s="21" t="str">
        <x:v>BLOCKED</x:v>
      </x:c>
    </x:row>
    <x:row r="32">
      <x:c r="A32" s="21" t="str">
        <x:v>HPR-107</x:v>
      </x:c>
      <x:c r="B32" s="21" t="str">
        <x:v>site-d00341226494-W4-H01</x:v>
      </x:c>
      <x:c r="C32" s="21" t="str">
        <x:v>site-d00341226494</x:v>
      </x:c>
      <x:c r="D32" s="21" t="str">
        <x:v>مقام النبي شعيب</x:v>
      </x:c>
      <x:c r="E32" s="21" t="str">
        <x:v>نابلس</x:v>
      </x:c>
      <x:c r="F32" s="21" t="str">
        <x:v>Canonical locality</x:v>
      </x:c>
      <x:c r="G32" s="21" t="n">
        <x:v>90</x:v>
      </x:c>
      <x:c r="H32" s="21" t="str">
        <x:v>P0_IMMEDIATE</x:v>
      </x:c>
      <x:c r="I32" s="21" t="str">
        <x:v>IDENTITY_LOCATION_BOUNDARY_COORDINATES</x:v>
      </x:c>
      <x:c r="J32" s="21" t="str">
        <x:v>OPEN</x:v>
      </x:c>
      <x:c r="K32" s="27" t="b">
        <x:v>0</x:v>
      </x:c>
      <x:c r="L32" s="27" t="b">
        <x:v>1</x:v>
      </x:c>
      <x:c r="M32" s="21" t="str">
        <x:v>BLOCKED</x:v>
      </x:c>
      <x:c r="N32" s="21" t="str">
        <x:v>BLOCKED</x:v>
      </x:c>
    </x:row>
    <x:row r="33">
      <x:c r="A33" s="21" t="str">
        <x:v>HPR-108</x:v>
      </x:c>
      <x:c r="B33" s="21" t="str">
        <x:v>site-d00341226494-W4-H02</x:v>
      </x:c>
      <x:c r="C33" s="21" t="str">
        <x:v>site-d00341226494</x:v>
      </x:c>
      <x:c r="D33" s="21" t="str">
        <x:v>مقام النبي شعيب</x:v>
      </x:c>
      <x:c r="E33" s="21" t="str">
        <x:v>نابلس</x:v>
      </x:c>
      <x:c r="F33" s="21" t="str">
        <x:v>Shrine identity</x:v>
      </x:c>
      <x:c r="G33" s="21" t="n">
        <x:v>90</x:v>
      </x:c>
      <x:c r="H33" s="21" t="str">
        <x:v>P0_IMMEDIATE</x:v>
      </x:c>
      <x:c r="I33" s="21" t="str">
        <x:v>IDENTITY_LOCATION_BOUNDARY_COORDINATES</x:v>
      </x:c>
      <x:c r="J33" s="21" t="str">
        <x:v>OPEN</x:v>
      </x:c>
      <x:c r="K33" s="27" t="b">
        <x:v>0</x:v>
      </x:c>
      <x:c r="L33" s="27" t="b">
        <x:v>1</x:v>
      </x:c>
      <x:c r="M33" s="21" t="str">
        <x:v>BLOCKED</x:v>
      </x:c>
      <x:c r="N33" s="21" t="str">
        <x:v>BLOCKED</x:v>
      </x:c>
    </x:row>
    <x:row r="34">
      <x:c r="A34" s="21" t="str">
        <x:v>HPR-211</x:v>
      </x:c>
      <x:c r="B34" s="21" t="str">
        <x:v>site-c4d8c9fdd1f0-W5-H03</x:v>
      </x:c>
      <x:c r="C34" s="21" t="str">
        <x:v>site-c4d8c9fdd1f0</x:v>
      </x:c>
      <x:c r="D34" s="21" t="str">
        <x:v>مقام النبي موسى</x:v>
      </x:c>
      <x:c r="E34" s="21" t="str">
        <x:v>أريحا</x:v>
      </x:c>
      <x:c r="F34" s="21" t="str">
        <x:v>Exact component-by-component dates and rights</x:v>
      </x:c>
      <x:c r="G34" s="21" t="n">
        <x:v>85</x:v>
      </x:c>
      <x:c r="H34" s="21" t="str">
        <x:v>P0_IMMEDIATE</x:v>
      </x:c>
      <x:c r="I34" s="21" t="str">
        <x:v>LEGAL_RIGHTS_ACCESS_OWNERSHIP; ARCHAEOLOGICAL_CHRONOLOGY</x:v>
      </x:c>
      <x:c r="J34" s="21" t="str">
        <x:v>OPEN</x:v>
      </x:c>
      <x:c r="K34" s="27" t="b">
        <x:v>1</x:v>
      </x:c>
      <x:c r="L34" s="27" t="b">
        <x:v>0</x:v>
      </x:c>
      <x:c r="M34" s="21" t="str">
        <x:v>BLOCKED</x:v>
      </x:c>
      <x:c r="N34" s="21" t="str">
        <x:v>BLOCKED</x:v>
      </x:c>
    </x:row>
    <x:row r="35">
      <x:c r="A35" s="21" t="str">
        <x:v>HPR-086</x:v>
      </x:c>
      <x:c r="B35" s="21" t="str">
        <x:v>site-99f520b3d607-W3-H03</x:v>
      </x:c>
      <x:c r="C35" s="21" t="str">
        <x:v>site-99f520b3d607</x:v>
      </x:c>
      <x:c r="D35" s="21" t="str">
        <x:v>ميناء غزة القديم (الأنطة)</x:v>
      </x:c>
      <x:c r="E35" s="21" t="str">
        <x:v>غزة</x:v>
      </x:c>
      <x:c r="F35" s="21" t="str">
        <x:v>Current damage severity</x:v>
      </x:c>
      <x:c r="G35" s="21" t="n">
        <x:v>85</x:v>
      </x:c>
      <x:c r="H35" s="21" t="str">
        <x:v>P0_IMMEDIATE</x:v>
      </x:c>
      <x:c r="I35" s="21" t="str">
        <x:v>CURRENT_CONDITION_DAMAGE_SAFETY</x:v>
      </x:c>
      <x:c r="J35" s="21" t="str">
        <x:v>OPEN</x:v>
      </x:c>
      <x:c r="K35" s="27" t="b">
        <x:v>1</x:v>
      </x:c>
      <x:c r="L35" s="27" t="b">
        <x:v>1</x:v>
      </x:c>
      <x:c r="M35" s="21" t="str">
        <x:v>BLOCKED</x:v>
      </x:c>
      <x:c r="N35" s="21" t="str">
        <x:v>BLOCKED</x:v>
      </x:c>
    </x:row>
    <x:row r="36">
      <x:c r="A36" s="21" t="str">
        <x:v>HPR-083</x:v>
      </x:c>
      <x:c r="B36" s="21" t="str">
        <x:v>site-a77381cd3cae-W3-H04</x:v>
      </x:c>
      <x:c r="C36" s="21" t="str">
        <x:v>site-a77381cd3cae</x:v>
      </x:c>
      <x:c r="D36" s="21" t="str">
        <x:v>مقام الشيخ رضوان</x:v>
      </x:c>
      <x:c r="E36" s="21" t="str">
        <x:v>غزة</x:v>
      </x:c>
      <x:c r="F36" s="21" t="str">
        <x:v>Current condition</x:v>
      </x:c>
      <x:c r="G36" s="21" t="n">
        <x:v>85</x:v>
      </x:c>
      <x:c r="H36" s="21" t="str">
        <x:v>P0_IMMEDIATE</x:v>
      </x:c>
      <x:c r="I36" s="21" t="str">
        <x:v>CURRENT_CONDITION_DAMAGE_SAFETY</x:v>
      </x:c>
      <x:c r="J36" s="21" t="str">
        <x:v>OPEN</x:v>
      </x:c>
      <x:c r="K36" s="27" t="b">
        <x:v>1</x:v>
      </x:c>
      <x:c r="L36" s="27" t="b">
        <x:v>1</x:v>
      </x:c>
      <x:c r="M36" s="21" t="str">
        <x:v>BLOCKED</x:v>
      </x:c>
      <x:c r="N36" s="21" t="str">
        <x:v>BLOCKED</x:v>
      </x:c>
    </x:row>
    <x:row r="37">
      <x:c r="A37" s="21" t="str">
        <x:v>HPR-075</x:v>
      </x:c>
      <x:c r="B37" s="21" t="str">
        <x:v>site-e1e3de7b8519-W3-H02</x:v>
      </x:c>
      <x:c r="C37" s="21" t="str">
        <x:v>site-e1e3de7b8519</x:v>
      </x:c>
      <x:c r="D37" s="21" t="str">
        <x:v>كنيسة القديس برفيريوس</x:v>
      </x:c>
      <x:c r="E37" s="21" t="str">
        <x:v>غزة</x:v>
      </x:c>
      <x:c r="F37" s="21" t="str">
        <x:v>Exact damage severity and casualty history</x:v>
      </x:c>
      <x:c r="G37" s="21" t="n">
        <x:v>85</x:v>
      </x:c>
      <x:c r="H37" s="21" t="str">
        <x:v>P0_IMMEDIATE</x:v>
      </x:c>
      <x:c r="I37" s="21" t="str">
        <x:v>CURRENT_CONDITION_DAMAGE_SAFETY</x:v>
      </x:c>
      <x:c r="J37" s="21" t="str">
        <x:v>OPEN</x:v>
      </x:c>
      <x:c r="K37" s="27" t="b">
        <x:v>1</x:v>
      </x:c>
      <x:c r="L37" s="27" t="b">
        <x:v>1</x:v>
      </x:c>
      <x:c r="M37" s="21" t="str">
        <x:v>BLOCKED</x:v>
      </x:c>
      <x:c r="N37" s="21" t="str">
        <x:v>BLOCKED</x:v>
      </x:c>
    </x:row>
    <x:row r="38">
      <x:c r="A38" s="21" t="str">
        <x:v>HPR-095</x:v>
      </x:c>
      <x:c r="B38" s="21" t="str">
        <x:v>site-a9ac192e20c3-W4-H03</x:v>
      </x:c>
      <x:c r="C38" s="21" t="str">
        <x:v>site-a9ac192e20c3</x:v>
      </x:c>
      <x:c r="D38" s="21" t="str">
        <x:v>بلدة نابلس القديمة</x:v>
      </x:c>
      <x:c r="E38" s="21" t="str">
        <x:v>نابلس</x:v>
      </x:c>
      <x:c r="F38" s="21" t="str">
        <x:v>Current condition of every component</x:v>
      </x:c>
      <x:c r="G38" s="21" t="n">
        <x:v>85</x:v>
      </x:c>
      <x:c r="H38" s="21" t="str">
        <x:v>P0_IMMEDIATE</x:v>
      </x:c>
      <x:c r="I38" s="21" t="str">
        <x:v>CURRENT_CONDITION_DAMAGE_SAFETY</x:v>
      </x:c>
      <x:c r="J38" s="21" t="str">
        <x:v>OPEN</x:v>
      </x:c>
      <x:c r="K38" s="27" t="b">
        <x:v>1</x:v>
      </x:c>
      <x:c r="L38" s="27" t="b">
        <x:v>1</x:v>
      </x:c>
      <x:c r="M38" s="21" t="str">
        <x:v>BLOCKED</x:v>
      </x:c>
      <x:c r="N38" s="21" t="str">
        <x:v>BLOCKED</x:v>
      </x:c>
    </x:row>
    <x:row r="39">
      <x:c r="A39" s="21" t="str">
        <x:v>HPR-205</x:v>
      </x:c>
      <x:c r="B39" s="21" t="str">
        <x:v>site-7551f628d089-W5-H01</x:v>
      </x:c>
      <x:c r="C39" s="21" t="str">
        <x:v>site-7551f628d089</x:v>
      </x:c>
      <x:c r="D39" s="21" t="str">
        <x:v>قناة وادي القلط</x:v>
      </x:c>
      <x:c r="E39" s="21" t="str">
        <x:v>أريحا</x:v>
      </x:c>
      <x:c r="F39" s="21" t="str">
        <x:v>Exact channel identity and route</x:v>
      </x:c>
      <x:c r="G39" s="21" t="n">
        <x:v>80</x:v>
      </x:c>
      <x:c r="H39" s="21" t="str">
        <x:v>P1_HIGH</x:v>
      </x:c>
      <x:c r="I39" s="21" t="str">
        <x:v>IDENTITY_LOCATION_BOUNDARY_COORDINATES; INVENTORY_CONSTITUENTS</x:v>
      </x:c>
      <x:c r="J39" s="21" t="str">
        <x:v>OPEN</x:v>
      </x:c>
      <x:c r="K39" s="27" t="b">
        <x:v>0</x:v>
      </x:c>
      <x:c r="L39" s="27" t="b">
        <x:v>1</x:v>
      </x:c>
      <x:c r="M39" s="21" t="str">
        <x:v>BLOCKED</x:v>
      </x:c>
      <x:c r="N39" s="21" t="str">
        <x:v>BLOCKED</x:v>
      </x:c>
    </x:row>
    <x:row r="40">
      <x:c r="A40" s="21" t="str">
        <x:v>HPR-201</x:v>
      </x:c>
      <x:c r="B40" s="21" t="str">
        <x:v>site-b5f00132ee24-W5-H03</x:v>
      </x:c>
      <x:c r="C40" s="21" t="str">
        <x:v>site-b5f00132ee24</x:v>
      </x:c>
      <x:c r="D40" s="21" t="str">
        <x:v>عين السلطان</x:v>
      </x:c>
      <x:c r="E40" s="21" t="str">
        <x:v>أريحا</x:v>
      </x:c>
      <x:c r="F40" s="21" t="str">
        <x:v>Modern water-rights and engineering status</x:v>
      </x:c>
      <x:c r="G40" s="21" t="n">
        <x:v>80</x:v>
      </x:c>
      <x:c r="H40" s="21" t="str">
        <x:v>P1_HIGH</x:v>
      </x:c>
      <x:c r="I40" s="21" t="str">
        <x:v>LEGAL_RIGHTS_ACCESS_OWNERSHIP</x:v>
      </x:c>
      <x:c r="J40" s="21" t="str">
        <x:v>OPEN</x:v>
      </x:c>
      <x:c r="K40" s="27" t="b">
        <x:v>1</x:v>
      </x:c>
      <x:c r="L40" s="27" t="b">
        <x:v>0</x:v>
      </x:c>
      <x:c r="M40" s="21" t="str">
        <x:v>BLOCKED</x:v>
      </x:c>
      <x:c r="N40" s="21" t="str">
        <x:v>BLOCKED</x:v>
      </x:c>
    </x:row>
    <x:row r="41">
      <x:c r="A41" s="21" t="str">
        <x:v>HPR-002</x:v>
      </x:c>
      <x:c r="B41" s="21" t="str">
        <x:v>site-899e38be070d-W1-H01</x:v>
      </x:c>
      <x:c r="C41" s="21" t="str">
        <x:v>site-899e38be070d</x:v>
      </x:c>
      <x:c r="D41" s="21" t="str">
        <x:v>الحرم الإبراهيمي</x:v>
      </x:c>
      <x:c r="E41" s="21" t="str">
        <x:v>الخليل</x:v>
      </x:c>
      <x:c r="F41" s="21" t="str">
        <x:v>claim_group=claims of exclusive religious ownership, detailed modern access restrictions, the 1994 massacre and post-1994 partition arrangements | status=HOLD_FOR_DEDICATED_LEGAL_AND_CONTEMPORARY_SOURCE_WAVE</x:v>
      </x:c>
      <x:c r="G41" s="21" t="n">
        <x:v>80</x:v>
      </x:c>
      <x:c r="H41" s="21" t="str">
        <x:v>P1_HIGH</x:v>
      </x:c>
      <x:c r="I41" s="21" t="str">
        <x:v>LEGAL_RIGHTS_ACCESS_OWNERSHIP; RELIGIOUS_ATTRIBUTION_CONTESTED</x:v>
      </x:c>
      <x:c r="J41" s="21" t="str">
        <x:v>OPEN</x:v>
      </x:c>
      <x:c r="K41" s="27" t="b">
        <x:v>1</x:v>
      </x:c>
      <x:c r="L41" s="27" t="b">
        <x:v>0</x:v>
      </x:c>
      <x:c r="M41" s="21" t="str">
        <x:v>BLOCKED</x:v>
      </x:c>
      <x:c r="N41" s="21" t="str">
        <x:v>BLOCKED</x:v>
      </x:c>
    </x:row>
    <x:row r="42">
      <x:c r="A42" s="21" t="str">
        <x:v>HPR-103</x:v>
      </x:c>
      <x:c r="B42" s="21" t="str">
        <x:v>site-160c60c7b952-W4-H03</x:v>
      </x:c>
      <x:c r="C42" s="21" t="str">
        <x:v>site-160c60c7b952</x:v>
      </x:c>
      <x:c r="D42" s="21" t="str">
        <x:v>حارة الياسمينة</x:v>
      </x:c>
      <x:c r="E42" s="21" t="str">
        <x:v>نابلس</x:v>
      </x:c>
      <x:c r="F42" s="21" t="str">
        <x:v>All Ottoman dates</x:v>
      </x:c>
      <x:c r="G42" s="21" t="n">
        <x:v>80</x:v>
      </x:c>
      <x:c r="H42" s="21" t="str">
        <x:v>P1_HIGH</x:v>
      </x:c>
      <x:c r="I42" s="21" t="str">
        <x:v>ARCHAEOLOGICAL_CHRONOLOGY; INVENTORY_CONSTITUENTS</x:v>
      </x:c>
      <x:c r="J42" s="21" t="str">
        <x:v>OPEN</x:v>
      </x:c>
      <x:c r="K42" s="27" t="b">
        <x:v>0</x:v>
      </x:c>
      <x:c r="L42" s="27" t="b">
        <x:v>0</x:v>
      </x:c>
      <x:c r="M42" s="21" t="str">
        <x:v>BLOCKED</x:v>
      </x:c>
      <x:c r="N42" s="21" t="str">
        <x:v>BLOCKED</x:v>
      </x:c>
    </x:row>
    <x:row r="43">
      <x:c r="A43" s="21" t="str">
        <x:v>HPR-099</x:v>
      </x:c>
      <x:c r="B43" s="21" t="str">
        <x:v>site-b6773e683274-W4-H01</x:v>
      </x:c>
      <x:c r="C43" s="21" t="str">
        <x:v>site-b6773e683274</x:v>
      </x:c>
      <x:c r="D43" s="21" t="str">
        <x:v>جبل جرزيم</x:v>
      </x:c>
      <x:c r="E43" s="21" t="str">
        <x:v>نابلس</x:v>
      </x:c>
      <x:c r="F43" s="21" t="str">
        <x:v>Independent adjudication of religious claims</x:v>
      </x:c>
      <x:c r="G43" s="21" t="n">
        <x:v>80</x:v>
      </x:c>
      <x:c r="H43" s="21" t="str">
        <x:v>P1_HIGH</x:v>
      </x:c>
      <x:c r="I43" s="21" t="str">
        <x:v>LEGAL_RIGHTS_ACCESS_OWNERSHIP; RELIGIOUS_ATTRIBUTION_CONTESTED</x:v>
      </x:c>
      <x:c r="J43" s="21" t="str">
        <x:v>OPEN</x:v>
      </x:c>
      <x:c r="K43" s="27" t="b">
        <x:v>1</x:v>
      </x:c>
      <x:c r="L43" s="27" t="b">
        <x:v>0</x:v>
      </x:c>
      <x:c r="M43" s="21" t="str">
        <x:v>BLOCKED</x:v>
      </x:c>
      <x:c r="N43" s="21" t="str">
        <x:v>BLOCKED</x:v>
      </x:c>
    </x:row>
    <x:row r="44">
      <x:c r="A44" s="21" t="str">
        <x:v>HPR-088</x:v>
      </x:c>
      <x:c r="B44" s="21" t="str">
        <x:v>site-0a78d22c1a69-W3-H02</x:v>
      </x:c>
      <x:c r="C44" s="21" t="str">
        <x:v>site-0a78d22c1a69</x:v>
      </x:c>
      <x:c r="D44" s="21" t="str">
        <x:v>خان يونس القديم</x:v>
      </x:c>
      <x:c r="E44" s="21" t="str">
        <x:v>خان يونس</x:v>
      </x:c>
      <x:c r="F44" s="21" t="str">
        <x:v>Complete historical-house inventory</x:v>
      </x:c>
      <x:c r="G44" s="21" t="n">
        <x:v>75</x:v>
      </x:c>
      <x:c r="H44" s="21" t="str">
        <x:v>P1_HIGH</x:v>
      </x:c>
      <x:c r="I44" s="21" t="str">
        <x:v>INVENTORY_CONSTITUENTS</x:v>
      </x:c>
      <x:c r="J44" s="21" t="str">
        <x:v>OPEN</x:v>
      </x:c>
      <x:c r="K44" s="27" t="b">
        <x:v>0</x:v>
      </x:c>
      <x:c r="L44" s="27" t="b">
        <x:v>0</x:v>
      </x:c>
      <x:c r="M44" s="21" t="str">
        <x:v>BLOCKED</x:v>
      </x:c>
      <x:c r="N44" s="21" t="str">
        <x:v>BLOCKED</x:v>
      </x:c>
    </x:row>
    <x:row r="45">
      <x:c r="A45" s="21" t="str">
        <x:v>HPR-189</x:v>
      </x:c>
      <x:c r="B45" s="21" t="str">
        <x:v>site-78a64ec5ef15-W5-H01</x:v>
      </x:c>
      <x:c r="C45" s="21" t="str">
        <x:v>site-78a64ec5ef15</x:v>
      </x:c>
      <x:c r="D45" s="21" t="str">
        <x:v>قصر الريان</x:v>
      </x:c>
      <x:c r="E45" s="21" t="str">
        <x:v>رام الله والبيرة</x:v>
      </x:c>
      <x:c r="F45" s="21" t="str">
        <x:v>Existence as a historic palace</x:v>
      </x:c>
      <x:c r="G45" s="21" t="n">
        <x:v>75</x:v>
      </x:c>
      <x:c r="H45" s="21" t="str">
        <x:v>P1_HIGH</x:v>
      </x:c>
      <x:c r="I45" s="21" t="str">
        <x:v>IDENTITY_LOCATION_BOUNDARY_COORDINATES</x:v>
      </x:c>
      <x:c r="J45" s="21" t="str">
        <x:v>OPEN</x:v>
      </x:c>
      <x:c r="K45" s="27" t="b">
        <x:v>0</x:v>
      </x:c>
      <x:c r="L45" s="27" t="b">
        <x:v>1</x:v>
      </x:c>
      <x:c r="M45" s="21" t="str">
        <x:v>BLOCKED</x:v>
      </x:c>
      <x:c r="N45" s="21" t="str">
        <x:v>BLOCKED</x:v>
      </x:c>
    </x:row>
    <x:row r="46">
      <x:c r="A46" s="21" t="str">
        <x:v>HPR-091</x:v>
      </x:c>
      <x:c r="B46" s="21" t="str">
        <x:v>site-ee0e5bf1f753-W3-H02</x:v>
      </x:c>
      <x:c r="C46" s="21" t="str">
        <x:v>site-ee0e5bf1f753</x:v>
      </x:c>
      <x:c r="D46" s="21" t="str">
        <x:v>رفح التاريخية</x:v>
      </x:c>
      <x:c r="E46" s="21" t="str">
        <x:v>رفح</x:v>
      </x:c>
      <x:c r="F46" s="21" t="str">
        <x:v>Historic urban fabric of Rafah</x:v>
      </x:c>
      <x:c r="G46" s="21" t="n">
        <x:v>75</x:v>
      </x:c>
      <x:c r="H46" s="21" t="str">
        <x:v>P1_HIGH</x:v>
      </x:c>
      <x:c r="I46" s="21" t="str">
        <x:v>INVENTORY_CONSTITUENTS</x:v>
      </x:c>
      <x:c r="J46" s="21" t="str">
        <x:v>OPEN</x:v>
      </x:c>
      <x:c r="K46" s="27" t="b">
        <x:v>0</x:v>
      </x:c>
      <x:c r="L46" s="27" t="b">
        <x:v>0</x:v>
      </x:c>
      <x:c r="M46" s="21" t="str">
        <x:v>BLOCKED</x:v>
      </x:c>
      <x:c r="N46" s="21" t="str">
        <x:v>BLOCKED</x:v>
      </x:c>
    </x:row>
    <x:row r="47">
      <x:c r="A47" s="21" t="str">
        <x:v>HPR-164</x:v>
      </x:c>
      <x:c r="B47" s="21" t="str">
        <x:v>site-b2a7e03ecda1-W4-H01</x:v>
      </x:c>
      <x:c r="C47" s="21" t="str">
        <x:v>site-b2a7e03ecda1</x:v>
      </x:c>
      <x:c r="D47" s="21" t="str">
        <x:v>قلعة كفل حارس</x:v>
      </x:c>
      <x:c r="E47" s="21" t="str">
        <x:v>سلفيت</x:v>
      </x:c>
      <x:c r="F47" s="21" t="str">
        <x:v>Castle existence</x:v>
      </x:c>
      <x:c r="G47" s="21" t="n">
        <x:v>75</x:v>
      </x:c>
      <x:c r="H47" s="21" t="str">
        <x:v>P1_HIGH</x:v>
      </x:c>
      <x:c r="I47" s="21" t="str">
        <x:v>IDENTITY_LOCATION_BOUNDARY_COORDINATES</x:v>
      </x:c>
      <x:c r="J47" s="21" t="str">
        <x:v>OPEN</x:v>
      </x:c>
      <x:c r="K47" s="27" t="b">
        <x:v>0</x:v>
      </x:c>
      <x:c r="L47" s="27" t="b">
        <x:v>1</x:v>
      </x:c>
      <x:c r="M47" s="21" t="str">
        <x:v>BLOCKED</x:v>
      </x:c>
      <x:c r="N47" s="21" t="str">
        <x:v>BLOCKED</x:v>
      </x:c>
    </x:row>
    <x:row r="48">
      <x:c r="A48" s="21" t="str">
        <x:v>HPR-072</x:v>
      </x:c>
      <x:c r="B48" s="21" t="str">
        <x:v>site-5e98cf44d976-W3-H02</x:v>
      </x:c>
      <x:c r="C48" s="21" t="str">
        <x:v>site-5e98cf44d976</x:v>
      </x:c>
      <x:c r="D48" s="21" t="str">
        <x:v>قلعة برقوق</x:v>
      </x:c>
      <x:c r="E48" s="21" t="str">
        <x:v>غزة</x:v>
      </x:c>
      <x:c r="F48" s="21" t="str">
        <x:v>Original plan and surviving components</x:v>
      </x:c>
      <x:c r="G48" s="21" t="n">
        <x:v>75</x:v>
      </x:c>
      <x:c r="H48" s="21" t="str">
        <x:v>P1_HIGH</x:v>
      </x:c>
      <x:c r="I48" s="21" t="str">
        <x:v>INVENTORY_CONSTITUENTS</x:v>
      </x:c>
      <x:c r="J48" s="21" t="str">
        <x:v>OPEN</x:v>
      </x:c>
      <x:c r="K48" s="27" t="b">
        <x:v>0</x:v>
      </x:c>
      <x:c r="L48" s="27" t="b">
        <x:v>0</x:v>
      </x:c>
      <x:c r="M48" s="21" t="str">
        <x:v>BLOCKED</x:v>
      </x:c>
      <x:c r="N48" s="21" t="str">
        <x:v>BLOCKED</x:v>
      </x:c>
    </x:row>
    <x:row r="49">
      <x:c r="A49" s="21" t="str">
        <x:v>HPR-208</x:v>
      </x:c>
      <x:c r="B49" s="21" t="str">
        <x:v>site-7551f628d089-W5-H04</x:v>
      </x:c>
      <x:c r="C49" s="21" t="str">
        <x:v>site-7551f628d089</x:v>
      </x:c>
      <x:c r="D49" s="21" t="str">
        <x:v>قناة وادي القلط</x:v>
      </x:c>
      <x:c r="E49" s="21" t="str">
        <x:v>أريحا</x:v>
      </x:c>
      <x:c r="F49" s="21" t="str">
        <x:v>Current surviving sections and condition</x:v>
      </x:c>
      <x:c r="G49" s="21" t="n">
        <x:v>70</x:v>
      </x:c>
      <x:c r="H49" s="21" t="str">
        <x:v>P1_HIGH</x:v>
      </x:c>
      <x:c r="I49" s="21" t="str">
        <x:v>CURRENT_CONDITION_DAMAGE_SAFETY</x:v>
      </x:c>
      <x:c r="J49" s="21" t="str">
        <x:v>OPEN</x:v>
      </x:c>
      <x:c r="K49" s="27" t="b">
        <x:v>1</x:v>
      </x:c>
      <x:c r="L49" s="27" t="b">
        <x:v>1</x:v>
      </x:c>
      <x:c r="M49" s="21" t="str">
        <x:v>BLOCKED</x:v>
      </x:c>
      <x:c r="N49" s="21" t="str">
        <x:v>BLOCKED</x:v>
      </x:c>
    </x:row>
    <x:row r="50">
      <x:c r="A50" s="21" t="str">
        <x:v>HPR-199</x:v>
      </x:c>
      <x:c r="B50" s="21" t="str">
        <x:v>site-b5f00132ee24-W5-H01</x:v>
      </x:c>
      <x:c r="C50" s="21" t="str">
        <x:v>site-b5f00132ee24</x:v>
      </x:c>
      <x:c r="D50" s="21" t="str">
        <x:v>عين السلطان</x:v>
      </x:c>
      <x:c r="E50" s="21" t="str">
        <x:v>أريحا</x:v>
      </x:c>
      <x:c r="F50" s="21" t="str">
        <x:v>Independent site boundary outside the property</x:v>
      </x:c>
      <x:c r="G50" s="21" t="n">
        <x:v>70</x:v>
      </x:c>
      <x:c r="H50" s="21" t="str">
        <x:v>P1_HIGH</x:v>
      </x:c>
      <x:c r="I50" s="21" t="str">
        <x:v>IDENTITY_LOCATION_BOUNDARY_COORDINATES</x:v>
      </x:c>
      <x:c r="J50" s="21" t="str">
        <x:v>OPEN</x:v>
      </x:c>
      <x:c r="K50" s="27" t="b">
        <x:v>0</x:v>
      </x:c>
      <x:c r="L50" s="27" t="b">
        <x:v>1</x:v>
      </x:c>
      <x:c r="M50" s="21" t="str">
        <x:v>BLOCKED</x:v>
      </x:c>
      <x:c r="N50" s="21" t="str">
        <x:v>BLOCKED</x:v>
      </x:c>
    </x:row>
    <x:row r="51">
      <x:c r="A51" s="21" t="str">
        <x:v>HPR-198</x:v>
      </x:c>
      <x:c r="B51" s="21" t="str">
        <x:v>site-cc4465115964-W5-H03</x:v>
      </x:c>
      <x:c r="C51" s="21" t="str">
        <x:v>site-cc4465115964</x:v>
      </x:c>
      <x:c r="D51" s="21" t="str">
        <x:v>دير قرنطل</x:v>
      </x:c>
      <x:c r="E51" s="21" t="str">
        <x:v>أريحا</x:v>
      </x:c>
      <x:c r="F51" s="21" t="str">
        <x:v>Current structural condition</x:v>
      </x:c>
      <x:c r="G51" s="21" t="n">
        <x:v>70</x:v>
      </x:c>
      <x:c r="H51" s="21" t="str">
        <x:v>P1_HIGH</x:v>
      </x:c>
      <x:c r="I51" s="21" t="str">
        <x:v>CURRENT_CONDITION_DAMAGE_SAFETY</x:v>
      </x:c>
      <x:c r="J51" s="21" t="str">
        <x:v>OPEN</x:v>
      </x:c>
      <x:c r="K51" s="27" t="b">
        <x:v>1</x:v>
      </x:c>
      <x:c r="L51" s="27" t="b">
        <x:v>1</x:v>
      </x:c>
      <x:c r="M51" s="21" t="str">
        <x:v>BLOCKED</x:v>
      </x:c>
      <x:c r="N51" s="21" t="str">
        <x:v>BLOCKED</x:v>
      </x:c>
    </x:row>
    <x:row r="52">
      <x:c r="A52" s="21" t="str">
        <x:v>HPR-202</x:v>
      </x:c>
      <x:c r="B52" s="21" t="str">
        <x:v>site-ce23c41d7641-W5-H01</x:v>
      </x:c>
      <x:c r="C52" s="21" t="str">
        <x:v>site-ce23c41d7641</x:v>
      </x:c>
      <x:c r="D52" s="21" t="str">
        <x:v>قبر النبي موسى</x:v>
      </x:c>
      <x:c r="E52" s="21" t="str">
        <x:v>أريحا</x:v>
      </x:c>
      <x:c r="F52" s="21" t="str">
        <x:v>Independent site identity</x:v>
      </x:c>
      <x:c r="G52" s="21" t="n">
        <x:v>70</x:v>
      </x:c>
      <x:c r="H52" s="21" t="str">
        <x:v>P1_HIGH</x:v>
      </x:c>
      <x:c r="I52" s="21" t="str">
        <x:v>IDENTITY_LOCATION_BOUNDARY_COORDINATES</x:v>
      </x:c>
      <x:c r="J52" s="21" t="str">
        <x:v>OPEN</x:v>
      </x:c>
      <x:c r="K52" s="27" t="b">
        <x:v>0</x:v>
      </x:c>
      <x:c r="L52" s="27" t="b">
        <x:v>1</x:v>
      </x:c>
      <x:c r="M52" s="21" t="str">
        <x:v>BLOCKED</x:v>
      </x:c>
      <x:c r="N52" s="21" t="str">
        <x:v>BLOCKED</x:v>
      </x:c>
    </x:row>
    <x:row r="53">
      <x:c r="A53" s="21" t="str">
        <x:v>HPR-204</x:v>
      </x:c>
      <x:c r="B53" s="21" t="str">
        <x:v>site-ce23c41d7641-W5-H03</x:v>
      </x:c>
      <x:c r="C53" s="21" t="str">
        <x:v>site-ce23c41d7641</x:v>
      </x:c>
      <x:c r="D53" s="21" t="str">
        <x:v>قبر النبي موسى</x:v>
      </x:c>
      <x:c r="E53" s="21" t="str">
        <x:v>أريحا</x:v>
      </x:c>
      <x:c r="F53" s="21" t="str">
        <x:v>Distinct coordinate or publication record</x:v>
      </x:c>
      <x:c r="G53" s="21" t="n">
        <x:v>70</x:v>
      </x:c>
      <x:c r="H53" s="21" t="str">
        <x:v>P1_HIGH</x:v>
      </x:c>
      <x:c r="I53" s="21" t="str">
        <x:v>IDENTITY_LOCATION_BOUNDARY_COORDINATES</x:v>
      </x:c>
      <x:c r="J53" s="21" t="str">
        <x:v>OPEN</x:v>
      </x:c>
      <x:c r="K53" s="27" t="b">
        <x:v>0</x:v>
      </x:c>
      <x:c r="L53" s="27" t="b">
        <x:v>1</x:v>
      </x:c>
      <x:c r="M53" s="21" t="str">
        <x:v>BLOCKED</x:v>
      </x:c>
      <x:c r="N53" s="21" t="str">
        <x:v>BLOCKED</x:v>
      </x:c>
    </x:row>
    <x:row r="54">
      <x:c r="A54" s="21" t="str">
        <x:v>HPR-040</x:v>
      </x:c>
      <x:c r="B54" s="21" t="str">
        <x:v>site-0dc57168d963-W2-H01</x:v>
      </x:c>
      <x:c r="C54" s="21" t="str">
        <x:v>site-0dc57168d963</x:v>
      </x:c>
      <x:c r="D54" s="21" t="str">
        <x:v>مغارة البطاركة (جزء من الحرم)</x:v>
      </x:c>
      <x:c r="E54" s="21" t="str">
        <x:v>الخليل</x:v>
      </x:c>
      <x:c r="F54" s="21" t="str">
        <x:v>Independent site boundary</x:v>
      </x:c>
      <x:c r="G54" s="21" t="n">
        <x:v>70</x:v>
      </x:c>
      <x:c r="H54" s="21" t="str">
        <x:v>P1_HIGH</x:v>
      </x:c>
      <x:c r="I54" s="21" t="str">
        <x:v>IDENTITY_LOCATION_BOUNDARY_COORDINATES</x:v>
      </x:c>
      <x:c r="J54" s="21" t="str">
        <x:v>OPEN</x:v>
      </x:c>
      <x:c r="K54" s="27" t="b">
        <x:v>0</x:v>
      </x:c>
      <x:c r="L54" s="27" t="b">
        <x:v>1</x:v>
      </x:c>
      <x:c r="M54" s="21" t="str">
        <x:v>BLOCKED</x:v>
      </x:c>
      <x:c r="N54" s="21" t="str">
        <x:v>BLOCKED</x:v>
      </x:c>
    </x:row>
    <x:row r="55">
      <x:c r="A55" s="21" t="str">
        <x:v>HPR-029</x:v>
      </x:c>
      <x:c r="B55" s="21" t="str">
        <x:v>site-2310c1600481-W2-H01</x:v>
      </x:c>
      <x:c r="C55" s="21" t="str">
        <x:v>site-2310c1600481</x:v>
      </x:c>
      <x:c r="D55" s="21" t="str">
        <x:v>خان الحطب</x:v>
      </x:c>
      <x:c r="E55" s="21" t="str">
        <x:v>الخليل</x:v>
      </x:c>
      <x:c r="F55" s="21" t="str">
        <x:v>Exact building identity</x:v>
      </x:c>
      <x:c r="G55" s="21" t="n">
        <x:v>70</x:v>
      </x:c>
      <x:c r="H55" s="21" t="str">
        <x:v>P1_HIGH</x:v>
      </x:c>
      <x:c r="I55" s="21" t="str">
        <x:v>IDENTITY_LOCATION_BOUNDARY_COORDINATES</x:v>
      </x:c>
      <x:c r="J55" s="21" t="str">
        <x:v>OPEN</x:v>
      </x:c>
      <x:c r="K55" s="27" t="b">
        <x:v>0</x:v>
      </x:c>
      <x:c r="L55" s="27" t="b">
        <x:v>1</x:v>
      </x:c>
      <x:c r="M55" s="21" t="str">
        <x:v>BLOCKED</x:v>
      </x:c>
      <x:c r="N55" s="21" t="str">
        <x:v>BLOCKED</x:v>
      </x:c>
    </x:row>
    <x:row r="56">
      <x:c r="A56" s="21" t="str">
        <x:v>HPR-024</x:v>
      </x:c>
      <x:c r="B56" s="21" t="str">
        <x:v>site-f60be7cd7d5e-W2-H03</x:v>
      </x:c>
      <x:c r="C56" s="21" t="str">
        <x:v>site-f60be7cd7d5e</x:v>
      </x:c>
      <x:c r="D56" s="21" t="str">
        <x:v>بيت أمر</x:v>
      </x:c>
      <x:c r="E56" s="21" t="str">
        <x:v>الخليل</x:v>
      </x:c>
      <x:c r="F56" s="21" t="str">
        <x:v>Exact site boundary</x:v>
      </x:c>
      <x:c r="G56" s="21" t="n">
        <x:v>70</x:v>
      </x:c>
      <x:c r="H56" s="21" t="str">
        <x:v>P1_HIGH</x:v>
      </x:c>
      <x:c r="I56" s="21" t="str">
        <x:v>IDENTITY_LOCATION_BOUNDARY_COORDINATES</x:v>
      </x:c>
      <x:c r="J56" s="21" t="str">
        <x:v>OPEN</x:v>
      </x:c>
      <x:c r="K56" s="27" t="b">
        <x:v>0</x:v>
      </x:c>
      <x:c r="L56" s="27" t="b">
        <x:v>1</x:v>
      </x:c>
      <x:c r="M56" s="21" t="str">
        <x:v>BLOCKED</x:v>
      </x:c>
      <x:c r="N56" s="21" t="str">
        <x:v>BLOCKED</x:v>
      </x:c>
    </x:row>
    <x:row r="57">
      <x:c r="A57" s="21" t="str">
        <x:v>HPR-057</x:v>
      </x:c>
      <x:c r="B57" s="21" t="str">
        <x:v>site-63fe9eba7871-W2-H02</x:v>
      </x:c>
      <x:c r="C57" s="21" t="str">
        <x:v>site-63fe9eba7871</x:v>
      </x:c>
      <x:c r="D57" s="21" t="str">
        <x:v>قلعة البرك</x:v>
      </x:c>
      <x:c r="E57" s="21" t="str">
        <x:v>بيت لحم</x:v>
      </x:c>
      <x:c r="F57" s="21" t="str">
        <x:v>Independent site boundary</x:v>
      </x:c>
      <x:c r="G57" s="21" t="n">
        <x:v>70</x:v>
      </x:c>
      <x:c r="H57" s="21" t="str">
        <x:v>P1_HIGH</x:v>
      </x:c>
      <x:c r="I57" s="21" t="str">
        <x:v>IDENTITY_LOCATION_BOUNDARY_COORDINATES</x:v>
      </x:c>
      <x:c r="J57" s="21" t="str">
        <x:v>OPEN</x:v>
      </x:c>
      <x:c r="K57" s="27" t="b">
        <x:v>0</x:v>
      </x:c>
      <x:c r="L57" s="27" t="b">
        <x:v>1</x:v>
      </x:c>
      <x:c r="M57" s="21" t="str">
        <x:v>BLOCKED</x:v>
      </x:c>
      <x:c r="N57" s="21" t="str">
        <x:v>BLOCKED</x:v>
      </x:c>
    </x:row>
    <x:row r="58">
      <x:c r="A58" s="21" t="str">
        <x:v>HPR-114</x:v>
      </x:c>
      <x:c r="B58" s="21" t="str">
        <x:v>site-f2a7fbbda5a5-W4-H01</x:v>
      </x:c>
      <x:c r="C58" s="21" t="str">
        <x:v>site-f2a7fbbda5a5</x:v>
      </x:c>
      <x:c r="D58" s="21" t="str">
        <x:v>بلدة جنين القديمة</x:v>
      </x:c>
      <x:c r="E58" s="21" t="str">
        <x:v>جنين</x:v>
      </x:c>
      <x:c r="F58" s="21" t="str">
        <x:v>Complete old-town boundary</x:v>
      </x:c>
      <x:c r="G58" s="21" t="n">
        <x:v>70</x:v>
      </x:c>
      <x:c r="H58" s="21" t="str">
        <x:v>P1_HIGH</x:v>
      </x:c>
      <x:c r="I58" s="21" t="str">
        <x:v>IDENTITY_LOCATION_BOUNDARY_COORDINATES</x:v>
      </x:c>
      <x:c r="J58" s="21" t="str">
        <x:v>OPEN</x:v>
      </x:c>
      <x:c r="K58" s="27" t="b">
        <x:v>0</x:v>
      </x:c>
      <x:c r="L58" s="27" t="b">
        <x:v>1</x:v>
      </x:c>
      <x:c r="M58" s="21" t="str">
        <x:v>BLOCKED</x:v>
      </x:c>
      <x:c r="N58" s="21" t="str">
        <x:v>BLOCKED</x:v>
      </x:c>
    </x:row>
    <x:row r="59">
      <x:c r="A59" s="21" t="str">
        <x:v>HPR-129</x:v>
      </x:c>
      <x:c r="B59" s="21" t="str">
        <x:v>site-fc3cde18193c-W4-H04</x:v>
      </x:c>
      <x:c r="C59" s="21" t="str">
        <x:v>site-fc3cde18193c</x:v>
      </x:c>
      <x:c r="D59" s="21" t="str">
        <x:v>مقام الشيخ حسن</x:v>
      </x:c>
      <x:c r="E59" s="21" t="str">
        <x:v>جنين</x:v>
      </x:c>
      <x:c r="F59" s="21" t="str">
        <x:v>Current condition</x:v>
      </x:c>
      <x:c r="G59" s="21" t="n">
        <x:v>70</x:v>
      </x:c>
      <x:c r="H59" s="21" t="str">
        <x:v>P1_HIGH</x:v>
      </x:c>
      <x:c r="I59" s="21" t="str">
        <x:v>CURRENT_CONDITION_DAMAGE_SAFETY</x:v>
      </x:c>
      <x:c r="J59" s="21" t="str">
        <x:v>OPEN</x:v>
      </x:c>
      <x:c r="K59" s="27" t="b">
        <x:v>1</x:v>
      </x:c>
      <x:c r="L59" s="27" t="b">
        <x:v>1</x:v>
      </x:c>
      <x:c r="M59" s="21" t="str">
        <x:v>BLOCKED</x:v>
      </x:c>
      <x:c r="N59" s="21" t="str">
        <x:v>BLOCKED</x:v>
      </x:c>
    </x:row>
    <x:row r="60">
      <x:c r="A60" s="21" t="str">
        <x:v>HPR-180</x:v>
      </x:c>
      <x:c r="B60" s="21" t="str">
        <x:v>site-014e4c4e4845-W5-H01</x:v>
      </x:c>
      <x:c r="C60" s="21" t="str">
        <x:v>site-014e4c4e4845</x:v>
      </x:c>
      <x:c r="D60" s="21" t="str">
        <x:v>عابود التاريخية</x:v>
      </x:c>
      <x:c r="E60" s="21" t="str">
        <x:v>رام الله والبيرة</x:v>
      </x:c>
      <x:c r="F60" s="21" t="str">
        <x:v>Complete archaeological landscape boundary</x:v>
      </x:c>
      <x:c r="G60" s="21" t="n">
        <x:v>70</x:v>
      </x:c>
      <x:c r="H60" s="21" t="str">
        <x:v>P1_HIGH</x:v>
      </x:c>
      <x:c r="I60" s="21" t="str">
        <x:v>IDENTITY_LOCATION_BOUNDARY_COORDINATES</x:v>
      </x:c>
      <x:c r="J60" s="21" t="str">
        <x:v>OPEN</x:v>
      </x:c>
      <x:c r="K60" s="27" t="b">
        <x:v>0</x:v>
      </x:c>
      <x:c r="L60" s="27" t="b">
        <x:v>1</x:v>
      </x:c>
      <x:c r="M60" s="21" t="str">
        <x:v>BLOCKED</x:v>
      </x:c>
      <x:c r="N60" s="21" t="str">
        <x:v>BLOCKED</x:v>
      </x:c>
    </x:row>
    <x:row r="61">
      <x:c r="A61" s="21" t="str">
        <x:v>HPR-194</x:v>
      </x:c>
      <x:c r="B61" s="21" t="str">
        <x:v>site-12fc185d4b0b-W5-H02</x:v>
      </x:c>
      <x:c r="C61" s="21" t="str">
        <x:v>site-12fc185d4b0b</x:v>
      </x:c>
      <x:c r="D61" s="21" t="str">
        <x:v>مقام النبي صالح</x:v>
      </x:c>
      <x:c r="E61" s="21" t="str">
        <x:v>رام الله والبيرة</x:v>
      </x:c>
      <x:c r="F61" s="21" t="str">
        <x:v>Burial identity</x:v>
      </x:c>
      <x:c r="G61" s="21" t="n">
        <x:v>70</x:v>
      </x:c>
      <x:c r="H61" s="21" t="str">
        <x:v>P1_HIGH</x:v>
      </x:c>
      <x:c r="I61" s="21" t="str">
        <x:v>IDENTITY_LOCATION_BOUNDARY_COORDINATES; RELIGIOUS_ATTRIBUTION_CONTESTED</x:v>
      </x:c>
      <x:c r="J61" s="21" t="str">
        <x:v>OPEN</x:v>
      </x:c>
      <x:c r="K61" s="27" t="b">
        <x:v>0</x:v>
      </x:c>
      <x:c r="L61" s="27" t="b">
        <x:v>1</x:v>
      </x:c>
      <x:c r="M61" s="21" t="str">
        <x:v>BLOCKED</x:v>
      </x:c>
      <x:c r="N61" s="21" t="str">
        <x:v>BLOCKED</x:v>
      </x:c>
    </x:row>
    <x:row r="62">
      <x:c r="A62" s="21" t="str">
        <x:v>HPR-160</x:v>
      </x:c>
      <x:c r="B62" s="21" t="str">
        <x:v>site-69f3ad775733-W4-H03</x:v>
      </x:c>
      <x:c r="C62" s="21" t="str">
        <x:v>site-69f3ad775733</x:v>
      </x:c>
      <x:c r="D62" s="21" t="str">
        <x:v>بلدة دير استيا التاريخية</x:v>
      </x:c>
      <x:c r="E62" s="21" t="str">
        <x:v>سلفيت</x:v>
      </x:c>
      <x:c r="F62" s="21" t="str">
        <x:v>Exact historic boundary</x:v>
      </x:c>
      <x:c r="G62" s="21" t="n">
        <x:v>70</x:v>
      </x:c>
      <x:c r="H62" s="21" t="str">
        <x:v>P1_HIGH</x:v>
      </x:c>
      <x:c r="I62" s="21" t="str">
        <x:v>IDENTITY_LOCATION_BOUNDARY_COORDINATES</x:v>
      </x:c>
      <x:c r="J62" s="21" t="str">
        <x:v>OPEN</x:v>
      </x:c>
      <x:c r="K62" s="27" t="b">
        <x:v>0</x:v>
      </x:c>
      <x:c r="L62" s="27" t="b">
        <x:v>1</x:v>
      </x:c>
      <x:c r="M62" s="21" t="str">
        <x:v>BLOCKED</x:v>
      </x:c>
      <x:c r="N62" s="21" t="str">
        <x:v>BLOCKED</x:v>
      </x:c>
    </x:row>
    <x:row r="63">
      <x:c r="A63" s="21" t="str">
        <x:v>HPR-163</x:v>
      </x:c>
      <x:c r="B63" s="21" t="str">
        <x:v>site-ba91049d51a9-W4-H03</x:v>
      </x:c>
      <x:c r="C63" s="21" t="str">
        <x:v>site-ba91049d51a9</x:v>
      </x:c>
      <x:c r="D63" s="21" t="str">
        <x:v>عيون الماء الأثرية</x:v>
      </x:c>
      <x:c r="E63" s="21" t="str">
        <x:v>سلفيت</x:v>
      </x:c>
      <x:c r="F63" s="21" t="str">
        <x:v>Exact coordinates</x:v>
      </x:c>
      <x:c r="G63" s="21" t="n">
        <x:v>70</x:v>
      </x:c>
      <x:c r="H63" s="21" t="str">
        <x:v>P1_HIGH</x:v>
      </x:c>
      <x:c r="I63" s="21" t="str">
        <x:v>IDENTITY_LOCATION_BOUNDARY_COORDINATES</x:v>
      </x:c>
      <x:c r="J63" s="21" t="str">
        <x:v>OPEN</x:v>
      </x:c>
      <x:c r="K63" s="27" t="b">
        <x:v>0</x:v>
      </x:c>
      <x:c r="L63" s="27" t="b">
        <x:v>1</x:v>
      </x:c>
      <x:c r="M63" s="21" t="str">
        <x:v>BLOCKED</x:v>
      </x:c>
      <x:c r="N63" s="21" t="str">
        <x:v>BLOCKED</x:v>
      </x:c>
    </x:row>
    <x:row r="64">
      <x:c r="A64" s="21" t="str">
        <x:v>HPR-174</x:v>
      </x:c>
      <x:c r="B64" s="21" t="str">
        <x:v>site-bc56c2f93d66-W4-H01</x:v>
      </x:c>
      <x:c r="C64" s="21" t="str">
        <x:v>site-bc56c2f93d66</x:v>
      </x:c>
      <x:c r="D64" s="21" t="str">
        <x:v>عين الفارعة</x:v>
      </x:c>
      <x:c r="E64" s="21" t="str">
        <x:v>طوباس</x:v>
      </x:c>
      <x:c r="F64" s="21" t="str">
        <x:v>Spring identity</x:v>
      </x:c>
      <x:c r="G64" s="21" t="n">
        <x:v>70</x:v>
      </x:c>
      <x:c r="H64" s="21" t="str">
        <x:v>P1_HIGH</x:v>
      </x:c>
      <x:c r="I64" s="21" t="str">
        <x:v>IDENTITY_LOCATION_BOUNDARY_COORDINATES</x:v>
      </x:c>
      <x:c r="J64" s="21" t="str">
        <x:v>OPEN</x:v>
      </x:c>
      <x:c r="K64" s="27" t="b">
        <x:v>0</x:v>
      </x:c>
      <x:c r="L64" s="27" t="b">
        <x:v>1</x:v>
      </x:c>
      <x:c r="M64" s="21" t="str">
        <x:v>BLOCKED</x:v>
      </x:c>
      <x:c r="N64" s="21" t="str">
        <x:v>BLOCKED</x:v>
      </x:c>
    </x:row>
    <x:row r="65">
      <x:c r="A65" s="21" t="str">
        <x:v>HPR-146</x:v>
      </x:c>
      <x:c r="B65" s="21" t="str">
        <x:v>site-95d241c30366-W4-H04</x:v>
      </x:c>
      <x:c r="C65" s="21" t="str">
        <x:v>site-95d241c30366</x:v>
      </x:c>
      <x:c r="D65" s="21" t="str">
        <x:v>مقام الشيخ شلتوت</x:v>
      </x:c>
      <x:c r="E65" s="21" t="str">
        <x:v>طولكرم</x:v>
      </x:c>
      <x:c r="F65" s="21" t="str">
        <x:v>Current condition</x:v>
      </x:c>
      <x:c r="G65" s="21" t="n">
        <x:v>70</x:v>
      </x:c>
      <x:c r="H65" s="21" t="str">
        <x:v>P1_HIGH</x:v>
      </x:c>
      <x:c r="I65" s="21" t="str">
        <x:v>CURRENT_CONDITION_DAMAGE_SAFETY</x:v>
      </x:c>
      <x:c r="J65" s="21" t="str">
        <x:v>OPEN</x:v>
      </x:c>
      <x:c r="K65" s="27" t="b">
        <x:v>1</x:v>
      </x:c>
      <x:c r="L65" s="27" t="b">
        <x:v>1</x:v>
      </x:c>
      <x:c r="M65" s="21" t="str">
        <x:v>BLOCKED</x:v>
      </x:c>
      <x:c r="N65" s="21" t="str">
        <x:v>BLOCKED</x:v>
      </x:c>
    </x:row>
    <x:row r="66">
      <x:c r="A66" s="21" t="str">
        <x:v>HPR-140</x:v>
      </x:c>
      <x:c r="B66" s="21" t="str">
        <x:v>site-be1c2ce90997-W4-H01</x:v>
      </x:c>
      <x:c r="C66" s="21" t="str">
        <x:v>site-be1c2ce90997</x:v>
      </x:c>
      <x:c r="D66" s="21" t="str">
        <x:v>مدينة طولكرم التاريخية</x:v>
      </x:c>
      <x:c r="E66" s="21" t="str">
        <x:v>طولكرم</x:v>
      </x:c>
      <x:c r="F66" s="21" t="str">
        <x:v>Historic urban boundary</x:v>
      </x:c>
      <x:c r="G66" s="21" t="n">
        <x:v>70</x:v>
      </x:c>
      <x:c r="H66" s="21" t="str">
        <x:v>P1_HIGH</x:v>
      </x:c>
      <x:c r="I66" s="21" t="str">
        <x:v>IDENTITY_LOCATION_BOUNDARY_COORDINATES</x:v>
      </x:c>
      <x:c r="J66" s="21" t="str">
        <x:v>OPEN</x:v>
      </x:c>
      <x:c r="K66" s="27" t="b">
        <x:v>0</x:v>
      </x:c>
      <x:c r="L66" s="27" t="b">
        <x:v>1</x:v>
      </x:c>
      <x:c r="M66" s="21" t="str">
        <x:v>BLOCKED</x:v>
      </x:c>
      <x:c r="N66" s="21" t="str">
        <x:v>BLOCKED</x:v>
      </x:c>
    </x:row>
    <x:row r="67">
      <x:c r="A67" s="21" t="str">
        <x:v>HPR-141</x:v>
      </x:c>
      <x:c r="B67" s="21" t="str">
        <x:v>site-be1c2ce90997-W4-H02</x:v>
      </x:c>
      <x:c r="C67" s="21" t="str">
        <x:v>site-be1c2ce90997</x:v>
      </x:c>
      <x:c r="D67" s="21" t="str">
        <x:v>مدينة طولكرم التاريخية</x:v>
      </x:c>
      <x:c r="E67" s="21" t="str">
        <x:v>طولكرم</x:v>
      </x:c>
      <x:c r="F67" s="21" t="str">
        <x:v>Roman-period city identity</x:v>
      </x:c>
      <x:c r="G67" s="21" t="n">
        <x:v>70</x:v>
      </x:c>
      <x:c r="H67" s="21" t="str">
        <x:v>P1_HIGH</x:v>
      </x:c>
      <x:c r="I67" s="21" t="str">
        <x:v>IDENTITY_LOCATION_BOUNDARY_COORDINATES</x:v>
      </x:c>
      <x:c r="J67" s="21" t="str">
        <x:v>OPEN</x:v>
      </x:c>
      <x:c r="K67" s="27" t="b">
        <x:v>0</x:v>
      </x:c>
      <x:c r="L67" s="27" t="b">
        <x:v>1</x:v>
      </x:c>
      <x:c r="M67" s="21" t="str">
        <x:v>BLOCKED</x:v>
      </x:c>
      <x:c r="N67" s="21" t="str">
        <x:v>BLOCKED</x:v>
      </x:c>
    </x:row>
    <x:row r="68">
      <x:c r="A68" s="21" t="str">
        <x:v>HPR-066</x:v>
      </x:c>
      <x:c r="B68" s="21" t="str">
        <x:v>site-21150eefdea6-W3-H02</x:v>
      </x:c>
      <x:c r="C68" s="21" t="str">
        <x:v>site-21150eefdea6</x:v>
      </x:c>
      <x:c r="D68" s="21" t="str">
        <x:v>تل العجول</x:v>
      </x:c>
      <x:c r="E68" s="21" t="str">
        <x:v>غزة</x:v>
      </x:c>
      <x:c r="F68" s="21" t="str">
        <x:v>Complete Bronze Age stratigraphy</x:v>
      </x:c>
      <x:c r="G68" s="21" t="n">
        <x:v>70</x:v>
      </x:c>
      <x:c r="H68" s="21" t="str">
        <x:v>P1_HIGH</x:v>
      </x:c>
      <x:c r="I68" s="21" t="str">
        <x:v>ARCHAEOLOGICAL_CHRONOLOGY</x:v>
      </x:c>
      <x:c r="J68" s="21" t="str">
        <x:v>OPEN</x:v>
      </x:c>
      <x:c r="K68" s="27" t="b">
        <x:v>0</x:v>
      </x:c>
      <x:c r="L68" s="27" t="b">
        <x:v>0</x:v>
      </x:c>
      <x:c r="M68" s="21" t="str">
        <x:v>BLOCKED</x:v>
      </x:c>
      <x:c r="N68" s="21" t="str">
        <x:v>BLOCKED</x:v>
      </x:c>
    </x:row>
    <x:row r="69">
      <x:c r="A69" s="21" t="str">
        <x:v>HPR-071</x:v>
      </x:c>
      <x:c r="B69" s="21" t="str">
        <x:v>site-5e98cf44d976-W3-H01</x:v>
      </x:c>
      <x:c r="C69" s="21" t="str">
        <x:v>site-5e98cf44d976</x:v>
      </x:c>
      <x:c r="D69" s="21" t="str">
        <x:v>قلعة برقوق</x:v>
      </x:c>
      <x:c r="E69" s="21" t="str">
        <x:v>غزة</x:v>
      </x:c>
      <x:c r="F69" s="21" t="str">
        <x:v>Exact construction date and patronage</x:v>
      </x:c>
      <x:c r="G69" s="21" t="n">
        <x:v>70</x:v>
      </x:c>
      <x:c r="H69" s="21" t="str">
        <x:v>P1_HIGH</x:v>
      </x:c>
      <x:c r="I69" s="21" t="str">
        <x:v>ARCHAEOLOGICAL_CHRONOLOGY</x:v>
      </x:c>
      <x:c r="J69" s="21" t="str">
        <x:v>OPEN</x:v>
      </x:c>
      <x:c r="K69" s="27" t="b">
        <x:v>0</x:v>
      </x:c>
      <x:c r="L69" s="27" t="b">
        <x:v>0</x:v>
      </x:c>
      <x:c r="M69" s="21" t="str">
        <x:v>BLOCKED</x:v>
      </x:c>
      <x:c r="N69" s="21" t="str">
        <x:v>BLOCKED</x:v>
      </x:c>
    </x:row>
    <x:row r="70">
      <x:c r="A70" s="21" t="str">
        <x:v>HPR-084</x:v>
      </x:c>
      <x:c r="B70" s="21" t="str">
        <x:v>site-99f520b3d607-W3-H01</x:v>
      </x:c>
      <x:c r="C70" s="21" t="str">
        <x:v>site-99f520b3d607</x:v>
      </x:c>
      <x:c r="D70" s="21" t="str">
        <x:v>ميناء غزة القديم (الأنطة)</x:v>
      </x:c>
      <x:c r="E70" s="21" t="str">
        <x:v>غزة</x:v>
      </x:c>
      <x:c r="F70" s="21" t="str">
        <x:v>Exact archaeological boundary</x:v>
      </x:c>
      <x:c r="G70" s="21" t="n">
        <x:v>70</x:v>
      </x:c>
      <x:c r="H70" s="21" t="str">
        <x:v>P1_HIGH</x:v>
      </x:c>
      <x:c r="I70" s="21" t="str">
        <x:v>IDENTITY_LOCATION_BOUNDARY_COORDINATES</x:v>
      </x:c>
      <x:c r="J70" s="21" t="str">
        <x:v>OPEN</x:v>
      </x:c>
      <x:c r="K70" s="27" t="b">
        <x:v>0</x:v>
      </x:c>
      <x:c r="L70" s="27" t="b">
        <x:v>1</x:v>
      </x:c>
      <x:c r="M70" s="21" t="str">
        <x:v>BLOCKED</x:v>
      </x:c>
      <x:c r="N70" s="21" t="str">
        <x:v>BLOCKED</x:v>
      </x:c>
    </x:row>
    <x:row r="71">
      <x:c r="A71" s="21" t="str">
        <x:v>HPR-085</x:v>
      </x:c>
      <x:c r="B71" s="21" t="str">
        <x:v>site-99f520b3d607-W3-H02</x:v>
      </x:c>
      <x:c r="C71" s="21" t="str">
        <x:v>site-99f520b3d607</x:v>
      </x:c>
      <x:c r="D71" s="21" t="str">
        <x:v>ميناء غزة القديم (الأنطة)</x:v>
      </x:c>
      <x:c r="E71" s="21" t="str">
        <x:v>غزة</x:v>
      </x:c>
      <x:c r="F71" s="21" t="str">
        <x:v>Relationship to Maiumas</x:v>
      </x:c>
      <x:c r="G71" s="21" t="n">
        <x:v>70</x:v>
      </x:c>
      <x:c r="H71" s="21" t="str">
        <x:v>P1_HIGH</x:v>
      </x:c>
      <x:c r="I71" s="21" t="str">
        <x:v>IDENTITY_LOCATION_BOUNDARY_COORDINATES</x:v>
      </x:c>
      <x:c r="J71" s="21" t="str">
        <x:v>OPEN</x:v>
      </x:c>
      <x:c r="K71" s="27" t="b">
        <x:v>0</x:v>
      </x:c>
      <x:c r="L71" s="27" t="b">
        <x:v>1</x:v>
      </x:c>
      <x:c r="M71" s="21" t="str">
        <x:v>BLOCKED</x:v>
      </x:c>
      <x:c r="N71" s="21" t="str">
        <x:v>BLOCKED</x:v>
      </x:c>
    </x:row>
    <x:row r="72">
      <x:c r="A72" s="21" t="str">
        <x:v>HPR-110</x:v>
      </x:c>
      <x:c r="B72" s="21" t="str">
        <x:v>site-d00341226494-W4-H04</x:v>
      </x:c>
      <x:c r="C72" s="21" t="str">
        <x:v>site-d00341226494</x:v>
      </x:c>
      <x:c r="D72" s="21" t="str">
        <x:v>مقام النبي شعيب</x:v>
      </x:c>
      <x:c r="E72" s="21" t="str">
        <x:v>نابلس</x:v>
      </x:c>
      <x:c r="F72" s="21" t="str">
        <x:v>Coordinates</x:v>
      </x:c>
      <x:c r="G72" s="21" t="n">
        <x:v>70</x:v>
      </x:c>
      <x:c r="H72" s="21" t="str">
        <x:v>P1_HIGH</x:v>
      </x:c>
      <x:c r="I72" s="21" t="str">
        <x:v>IDENTITY_LOCATION_BOUNDARY_COORDINATES</x:v>
      </x:c>
      <x:c r="J72" s="21" t="str">
        <x:v>OPEN</x:v>
      </x:c>
      <x:c r="K72" s="27" t="b">
        <x:v>0</x:v>
      </x:c>
      <x:c r="L72" s="27" t="b">
        <x:v>1</x:v>
      </x:c>
      <x:c r="M72" s="21" t="str">
        <x:v>BLOCKED</x:v>
      </x:c>
      <x:c r="N72" s="21" t="str">
        <x:v>BLOCKED</x:v>
      </x:c>
    </x:row>
    <x:row r="73">
      <x:c r="A73" s="21" t="str">
        <x:v>HPR-111</x:v>
      </x:c>
      <x:c r="B73" s="21" t="str">
        <x:v>site-fb9a817ec94a-W4-H01</x:v>
      </x:c>
      <x:c r="C73" s="21" t="str">
        <x:v>site-fb9a817ec94a</x:v>
      </x:c>
      <x:c r="D73" s="21" t="str">
        <x:v>مقام النبي يوسف (بلاطة)</x:v>
      </x:c>
      <x:c r="E73" s="21" t="str">
        <x:v>نابلس</x:v>
      </x:c>
      <x:c r="F73" s="21" t="str">
        <x:v>Burial identity</x:v>
      </x:c>
      <x:c r="G73" s="21" t="n">
        <x:v>70</x:v>
      </x:c>
      <x:c r="H73" s="21" t="str">
        <x:v>P1_HIGH</x:v>
      </x:c>
      <x:c r="I73" s="21" t="str">
        <x:v>IDENTITY_LOCATION_BOUNDARY_COORDINATES; RELIGIOUS_ATTRIBUTION_CONTESTED</x:v>
      </x:c>
      <x:c r="J73" s="21" t="str">
        <x:v>OPEN</x:v>
      </x:c>
      <x:c r="K73" s="27" t="b">
        <x:v>0</x:v>
      </x:c>
      <x:c r="L73" s="27" t="b">
        <x:v>1</x:v>
      </x:c>
      <x:c r="M73" s="21" t="str">
        <x:v>BLOCKED</x:v>
      </x:c>
      <x:c r="N73" s="21" t="str">
        <x:v>BLOCKED</x:v>
      </x:c>
    </x:row>
    <x:row r="74">
      <x:c r="A74" s="21" t="str">
        <x:v>HPR-045</x:v>
      </x:c>
      <x:c r="B74" s="21" t="str">
        <x:v>site-7532d020842e-W2-H03</x:v>
      </x:c>
      <x:c r="C74" s="21" t="str">
        <x:v>site-7532d020842e</x:v>
      </x:c>
      <x:c r="D74" s="21" t="str">
        <x:v>مقام الشيخ علي البكاء</x:v>
      </x:c>
      <x:c r="E74" s="21" t="str">
        <x:v>الخليل</x:v>
      </x:c>
      <x:c r="F74" s="21" t="str">
        <x:v>Biography and endowment history</x:v>
      </x:c>
      <x:c r="G74" s="21" t="n">
        <x:v>65</x:v>
      </x:c>
      <x:c r="H74" s="21" t="str">
        <x:v>P1_HIGH</x:v>
      </x:c>
      <x:c r="I74" s="21" t="str">
        <x:v>LEGAL_RIGHTS_ACCESS_OWNERSHIP</x:v>
      </x:c>
      <x:c r="J74" s="21" t="str">
        <x:v>OPEN</x:v>
      </x:c>
      <x:c r="K74" s="27" t="b">
        <x:v>1</x:v>
      </x:c>
      <x:c r="L74" s="27" t="b">
        <x:v>0</x:v>
      </x:c>
      <x:c r="M74" s="21" t="str">
        <x:v>BLOCKED</x:v>
      </x:c>
      <x:c r="N74" s="21" t="str">
        <x:v>BLOCKED</x:v>
      </x:c>
    </x:row>
    <x:row r="75">
      <x:c r="A75" s="21" t="str">
        <x:v>HPR-018</x:v>
      </x:c>
      <x:c r="B75" s="21" t="str">
        <x:v>site-431ed266867b-W2-H02</x:v>
      </x:c>
      <x:c r="C75" s="21" t="str">
        <x:v>site-431ed266867b</x:v>
      </x:c>
      <x:c r="D75" s="21" t="str">
        <x:v>كنيسة القيامة</x:v>
      </x:c>
      <x:c r="E75" s="21" t="str">
        <x:v>القدس</x:v>
      </x:c>
      <x:c r="F75" s="21" t="str">
        <x:v>Status Quo governance details</x:v>
      </x:c>
      <x:c r="G75" s="21" t="n">
        <x:v>65</x:v>
      </x:c>
      <x:c r="H75" s="21" t="str">
        <x:v>P1_HIGH</x:v>
      </x:c>
      <x:c r="I75" s="21" t="str">
        <x:v>LEGAL_RIGHTS_ACCESS_OWNERSHIP</x:v>
      </x:c>
      <x:c r="J75" s="21" t="str">
        <x:v>OPEN</x:v>
      </x:c>
      <x:c r="K75" s="27" t="b">
        <x:v>1</x:v>
      </x:c>
      <x:c r="L75" s="27" t="b">
        <x:v>0</x:v>
      </x:c>
      <x:c r="M75" s="21" t="str">
        <x:v>BLOCKED</x:v>
      </x:c>
      <x:c r="N75" s="21" t="str">
        <x:v>BLOCKED</x:v>
      </x:c>
    </x:row>
    <x:row r="76">
      <x:c r="A76" s="21" t="str">
        <x:v>HPR-009</x:v>
      </x:c>
      <x:c r="B76" s="21" t="str">
        <x:v>site-9b42bff63df0-W2-H02</x:v>
      </x:c>
      <x:c r="C76" s="21" t="str">
        <x:v>site-9b42bff63df0</x:v>
      </x:c>
      <x:c r="D76" s="21" t="str">
        <x:v>خان الجوابرة</x:v>
      </x:c>
      <x:c r="E76" s="21" t="str">
        <x:v>القدس</x:v>
      </x:c>
      <x:c r="F76" s="21" t="str">
        <x:v>Function and ownership history</x:v>
      </x:c>
      <x:c r="G76" s="21" t="n">
        <x:v>65</x:v>
      </x:c>
      <x:c r="H76" s="21" t="str">
        <x:v>P1_HIGH</x:v>
      </x:c>
      <x:c r="I76" s="21" t="str">
        <x:v>LEGAL_RIGHTS_ACCESS_OWNERSHIP</x:v>
      </x:c>
      <x:c r="J76" s="21" t="str">
        <x:v>OPEN</x:v>
      </x:c>
      <x:c r="K76" s="27" t="b">
        <x:v>1</x:v>
      </x:c>
      <x:c r="L76" s="27" t="b">
        <x:v>0</x:v>
      </x:c>
      <x:c r="M76" s="21" t="str">
        <x:v>BLOCKED</x:v>
      </x:c>
      <x:c r="N76" s="21" t="str">
        <x:v>BLOCKED</x:v>
      </x:c>
    </x:row>
    <x:row r="77">
      <x:c r="A77" s="21" t="str">
        <x:v>HPR-156</x:v>
      </x:c>
      <x:c r="B77" s="21" t="str">
        <x:v>site-a33c0a4f64fa-W4-H03</x:v>
      </x:c>
      <x:c r="C77" s="21" t="str">
        <x:v>site-a33c0a4f64fa</x:v>
      </x:c>
      <x:c r="D77" s="21" t="str">
        <x:v>مقام النبي يامين</x:v>
      </x:c>
      <x:c r="E77" s="21" t="str">
        <x:v>قلقيلية</x:v>
      </x:c>
      <x:c r="F77" s="21" t="str">
        <x:v>Ownership/use history</x:v>
      </x:c>
      <x:c r="G77" s="21" t="n">
        <x:v>65</x:v>
      </x:c>
      <x:c r="H77" s="21" t="str">
        <x:v>P1_HIGH</x:v>
      </x:c>
      <x:c r="I77" s="21" t="str">
        <x:v>LEGAL_RIGHTS_ACCESS_OWNERSHIP</x:v>
      </x:c>
      <x:c r="J77" s="21" t="str">
        <x:v>OPEN</x:v>
      </x:c>
      <x:c r="K77" s="27" t="b">
        <x:v>1</x:v>
      </x:c>
      <x:c r="L77" s="27" t="b">
        <x:v>0</x:v>
      </x:c>
      <x:c r="M77" s="21" t="str">
        <x:v>BLOCKED</x:v>
      </x:c>
      <x:c r="N77" s="21" t="str">
        <x:v>BLOCKED</x:v>
      </x:c>
    </x:row>
    <x:row r="78">
      <x:c r="A78" s="21" t="str">
        <x:v>HPR-042</x:v>
      </x:c>
      <x:c r="B78" s="21" t="str">
        <x:v>site-0dc57168d963-W2-H03</x:v>
      </x:c>
      <x:c r="C78" s="21" t="str">
        <x:v>site-0dc57168d963</x:v>
      </x:c>
      <x:c r="D78" s="21" t="str">
        <x:v>مغارة البطاركة (جزء من الحرم)</x:v>
      </x:c>
      <x:c r="E78" s="21" t="str">
        <x:v>الخليل</x:v>
      </x:c>
      <x:c r="F78" s="21" t="str">
        <x:v>Exact subterranean geometry</x:v>
      </x:c>
      <x:c r="G78" s="21" t="n">
        <x:v>60</x:v>
      </x:c>
      <x:c r="H78" s="21" t="str">
        <x:v>P2_MEDIUM</x:v>
      </x:c>
      <x:c r="I78" s="21" t="str">
        <x:v>INVENTORY_CONSTITUENTS</x:v>
      </x:c>
      <x:c r="J78" s="21" t="str">
        <x:v>OPEN</x:v>
      </x:c>
      <x:c r="K78" s="27" t="b">
        <x:v>0</x:v>
      </x:c>
      <x:c r="L78" s="27" t="b">
        <x:v>0</x:v>
      </x:c>
      <x:c r="M78" s="21" t="str">
        <x:v>BLOCKED</x:v>
      </x:c>
      <x:c r="N78" s="21" t="str">
        <x:v>BLOCKED</x:v>
      </x:c>
    </x:row>
    <x:row r="79">
      <x:c r="A79" s="21" t="str">
        <x:v>HPR-014</x:v>
      </x:c>
      <x:c r="B79" s="21" t="str">
        <x:v>site-f7553f79288f-W2-H01</x:v>
      </x:c>
      <x:c r="C79" s="21" t="str">
        <x:v>site-f7553f79288f</x:v>
      </x:c>
      <x:c r="D79" s="21" t="str">
        <x:v>قصور المماليك (شارع الواد)</x:v>
      </x:c>
      <x:c r="E79" s="21" t="str">
        <x:v>القدس</x:v>
      </x:c>
      <x:c r="F79" s="21" t="str">
        <x:v>Complete constituent list</x:v>
      </x:c>
      <x:c r="G79" s="21" t="n">
        <x:v>60</x:v>
      </x:c>
      <x:c r="H79" s="21" t="str">
        <x:v>P2_MEDIUM</x:v>
      </x:c>
      <x:c r="I79" s="21" t="str">
        <x:v>INVENTORY_CONSTITUENTS</x:v>
      </x:c>
      <x:c r="J79" s="21" t="str">
        <x:v>OPEN</x:v>
      </x:c>
      <x:c r="K79" s="27" t="b">
        <x:v>0</x:v>
      </x:c>
      <x:c r="L79" s="27" t="b">
        <x:v>0</x:v>
      </x:c>
      <x:c r="M79" s="21" t="str">
        <x:v>BLOCKED</x:v>
      </x:c>
      <x:c r="N79" s="21" t="str">
        <x:v>BLOCKED</x:v>
      </x:c>
    </x:row>
    <x:row r="80">
      <x:c r="A80" s="21" t="str">
        <x:v>HPR-115</x:v>
      </x:c>
      <x:c r="B80" s="21" t="str">
        <x:v>site-f2a7fbbda5a5-W4-H02</x:v>
      </x:c>
      <x:c r="C80" s="21" t="str">
        <x:v>site-f2a7fbbda5a5</x:v>
      </x:c>
      <x:c r="D80" s="21" t="str">
        <x:v>بلدة جنين القديمة</x:v>
      </x:c>
      <x:c r="E80" s="21" t="str">
        <x:v>جنين</x:v>
      </x:c>
      <x:c r="F80" s="21" t="str">
        <x:v>Mamluk urban fabric</x:v>
      </x:c>
      <x:c r="G80" s="21" t="n">
        <x:v>60</x:v>
      </x:c>
      <x:c r="H80" s="21" t="str">
        <x:v>P2_MEDIUM</x:v>
      </x:c>
      <x:c r="I80" s="21" t="str">
        <x:v>INVENTORY_CONSTITUENTS</x:v>
      </x:c>
      <x:c r="J80" s="21" t="str">
        <x:v>OPEN</x:v>
      </x:c>
      <x:c r="K80" s="27" t="b">
        <x:v>0</x:v>
      </x:c>
      <x:c r="L80" s="27" t="b">
        <x:v>0</x:v>
      </x:c>
      <x:c r="M80" s="21" t="str">
        <x:v>BLOCKED</x:v>
      </x:c>
      <x:c r="N80" s="21" t="str">
        <x:v>BLOCKED</x:v>
      </x:c>
    </x:row>
    <x:row r="81">
      <x:c r="A81" s="21" t="str">
        <x:v>HPR-181</x:v>
      </x:c>
      <x:c r="B81" s="21" t="str">
        <x:v>site-014e4c4e4845-W5-H02</x:v>
      </x:c>
      <x:c r="C81" s="21" t="str">
        <x:v>site-014e4c4e4845</x:v>
      </x:c>
      <x:c r="D81" s="21" t="str">
        <x:v>عابود التاريخية</x:v>
      </x:c>
      <x:c r="E81" s="21" t="str">
        <x:v>رام الله والبيرة</x:v>
      </x:c>
      <x:c r="F81" s="21" t="str">
        <x:v>Full component inventory</x:v>
      </x:c>
      <x:c r="G81" s="21" t="n">
        <x:v>60</x:v>
      </x:c>
      <x:c r="H81" s="21" t="str">
        <x:v>P2_MEDIUM</x:v>
      </x:c>
      <x:c r="I81" s="21" t="str">
        <x:v>INVENTORY_CONSTITUENTS</x:v>
      </x:c>
      <x:c r="J81" s="21" t="str">
        <x:v>OPEN</x:v>
      </x:c>
      <x:c r="K81" s="27" t="b">
        <x:v>0</x:v>
      </x:c>
      <x:c r="L81" s="27" t="b">
        <x:v>0</x:v>
      </x:c>
      <x:c r="M81" s="21" t="str">
        <x:v>BLOCKED</x:v>
      </x:c>
      <x:c r="N81" s="21" t="str">
        <x:v>BLOCKED</x:v>
      </x:c>
    </x:row>
    <x:row r="82">
      <x:c r="A82" s="21" t="str">
        <x:v>HPR-187</x:v>
      </x:c>
      <x:c r="B82" s="21" t="str">
        <x:v>site-2a3fdab99250-W5-H02</x:v>
      </x:c>
      <x:c r="C82" s="21" t="str">
        <x:v>site-2a3fdab99250</x:v>
      </x:c>
      <x:c r="D82" s="21" t="str">
        <x:v>عين سامية</x:v>
      </x:c>
      <x:c r="E82" s="21" t="str">
        <x:v>رام الله والبيرة</x:v>
      </x:c>
      <x:c r="F82" s="21" t="str">
        <x:v>Roman-period installations and tomb inventory</x:v>
      </x:c>
      <x:c r="G82" s="21" t="n">
        <x:v>60</x:v>
      </x:c>
      <x:c r="H82" s="21" t="str">
        <x:v>P2_MEDIUM</x:v>
      </x:c>
      <x:c r="I82" s="21" t="str">
        <x:v>INVENTORY_CONSTITUENTS</x:v>
      </x:c>
      <x:c r="J82" s="21" t="str">
        <x:v>OPEN</x:v>
      </x:c>
      <x:c r="K82" s="27" t="b">
        <x:v>0</x:v>
      </x:c>
      <x:c r="L82" s="27" t="b">
        <x:v>0</x:v>
      </x:c>
      <x:c r="M82" s="21" t="str">
        <x:v>BLOCKED</x:v>
      </x:c>
      <x:c r="N82" s="21" t="str">
        <x:v>BLOCKED</x:v>
      </x:c>
    </x:row>
    <x:row r="83">
      <x:c r="A83" s="21" t="str">
        <x:v>HPR-179</x:v>
      </x:c>
      <x:c r="B83" s="21" t="str">
        <x:v>site-e2a5c15f76f6-W5-H03</x:v>
      </x:c>
      <x:c r="C83" s="21" t="str">
        <x:v>site-e2a5c15f76f6</x:v>
      </x:c>
      <x:c r="D83" s="21" t="str">
        <x:v>بلدة بيرزيت القديمة</x:v>
      </x:c>
      <x:c r="E83" s="21" t="str">
        <x:v>رام الله والبيرة</x:v>
      </x:c>
      <x:c r="F83" s="21" t="str">
        <x:v>Publication-ready constituent inventory</x:v>
      </x:c>
      <x:c r="G83" s="21" t="n">
        <x:v>60</x:v>
      </x:c>
      <x:c r="H83" s="21" t="str">
        <x:v>P2_MEDIUM</x:v>
      </x:c>
      <x:c r="I83" s="21" t="str">
        <x:v>INVENTORY_CONSTITUENTS</x:v>
      </x:c>
      <x:c r="J83" s="21" t="str">
        <x:v>OPEN</x:v>
      </x:c>
      <x:c r="K83" s="27" t="b">
        <x:v>0</x:v>
      </x:c>
      <x:c r="L83" s="27" t="b">
        <x:v>0</x:v>
      </x:c>
      <x:c r="M83" s="21" t="str">
        <x:v>BLOCKED</x:v>
      </x:c>
      <x:c r="N83" s="21" t="str">
        <x:v>BLOCKED</x:v>
      </x:c>
    </x:row>
    <x:row r="84">
      <x:c r="A84" s="21" t="str">
        <x:v>HPR-159</x:v>
      </x:c>
      <x:c r="B84" s="21" t="str">
        <x:v>site-69f3ad775733-W4-H02</x:v>
      </x:c>
      <x:c r="C84" s="21" t="str">
        <x:v>site-69f3ad775733</x:v>
      </x:c>
      <x:c r="D84" s="21" t="str">
        <x:v>بلدة دير استيا التاريخية</x:v>
      </x:c>
      <x:c r="E84" s="21" t="str">
        <x:v>سلفيت</x:v>
      </x:c>
      <x:c r="F84" s="21" t="str">
        <x:v>Complete constituent inventory</x:v>
      </x:c>
      <x:c r="G84" s="21" t="n">
        <x:v>60</x:v>
      </x:c>
      <x:c r="H84" s="21" t="str">
        <x:v>P2_MEDIUM</x:v>
      </x:c>
      <x:c r="I84" s="21" t="str">
        <x:v>INVENTORY_CONSTITUENTS</x:v>
      </x:c>
      <x:c r="J84" s="21" t="str">
        <x:v>OPEN</x:v>
      </x:c>
      <x:c r="K84" s="27" t="b">
        <x:v>0</x:v>
      </x:c>
      <x:c r="L84" s="27" t="b">
        <x:v>0</x:v>
      </x:c>
      <x:c r="M84" s="21" t="str">
        <x:v>BLOCKED</x:v>
      </x:c>
      <x:c r="N84" s="21" t="str">
        <x:v>BLOCKED</x:v>
      </x:c>
    </x:row>
    <x:row r="85">
      <x:c r="A85" s="21" t="str">
        <x:v>HPR-142</x:v>
      </x:c>
      <x:c r="B85" s="21" t="str">
        <x:v>site-be1c2ce90997-W4-H03</x:v>
      </x:c>
      <x:c r="C85" s="21" t="str">
        <x:v>site-be1c2ce90997</x:v>
      </x:c>
      <x:c r="D85" s="21" t="str">
        <x:v>مدينة طولكرم التاريخية</x:v>
      </x:c>
      <x:c r="E85" s="21" t="str">
        <x:v>طولكرم</x:v>
      </x:c>
      <x:c r="F85" s="21" t="str">
        <x:v>Complete component inventory</x:v>
      </x:c>
      <x:c r="G85" s="21" t="n">
        <x:v>60</x:v>
      </x:c>
      <x:c r="H85" s="21" t="str">
        <x:v>P2_MEDIUM</x:v>
      </x:c>
      <x:c r="I85" s="21" t="str">
        <x:v>INVENTORY_CONSTITUENTS</x:v>
      </x:c>
      <x:c r="J85" s="21" t="str">
        <x:v>OPEN</x:v>
      </x:c>
      <x:c r="K85" s="27" t="b">
        <x:v>0</x:v>
      </x:c>
      <x:c r="L85" s="27" t="b">
        <x:v>0</x:v>
      </x:c>
      <x:c r="M85" s="21" t="str">
        <x:v>BLOCKED</x:v>
      </x:c>
      <x:c r="N85" s="21" t="str">
        <x:v>BLOCKED</x:v>
      </x:c>
    </x:row>
    <x:row r="86">
      <x:c r="A86" s="21" t="str">
        <x:v>HPR-106</x:v>
      </x:c>
      <x:c r="B86" s="21" t="str">
        <x:v>site-31c7667ff10e-W4-H03</x:v>
      </x:c>
      <x:c r="C86" s="21" t="str">
        <x:v>site-31c7667ff10e</x:v>
      </x:c>
      <x:c r="D86" s="21" t="str">
        <x:v>خان التجار</x:v>
      </x:c>
      <x:c r="E86" s="21" t="str">
        <x:v>نابلس</x:v>
      </x:c>
      <x:c r="F86" s="21" t="str">
        <x:v>Complete commercial history</x:v>
      </x:c>
      <x:c r="G86" s="21" t="n">
        <x:v>60</x:v>
      </x:c>
      <x:c r="H86" s="21" t="str">
        <x:v>P2_MEDIUM</x:v>
      </x:c>
      <x:c r="I86" s="21" t="str">
        <x:v>INVENTORY_CONSTITUENTS</x:v>
      </x:c>
      <x:c r="J86" s="21" t="str">
        <x:v>OPEN</x:v>
      </x:c>
      <x:c r="K86" s="27" t="b">
        <x:v>0</x:v>
      </x:c>
      <x:c r="L86" s="27" t="b">
        <x:v>0</x:v>
      </x:c>
      <x:c r="M86" s="21" t="str">
        <x:v>BLOCKED</x:v>
      </x:c>
      <x:c r="N86" s="21" t="str">
        <x:v>BLOCKED</x:v>
      </x:c>
    </x:row>
    <x:row r="87">
      <x:c r="A87" s="21" t="str">
        <x:v>HPR-094</x:v>
      </x:c>
      <x:c r="B87" s="21" t="str">
        <x:v>site-a9ac192e20c3-W4-H02</x:v>
      </x:c>
      <x:c r="C87" s="21" t="str">
        <x:v>site-a9ac192e20c3</x:v>
      </x:c>
      <x:c r="D87" s="21" t="str">
        <x:v>بلدة نابلس القديمة</x:v>
      </x:c>
      <x:c r="E87" s="21" t="str">
        <x:v>نابلس</x:v>
      </x:c>
      <x:c r="F87" s="21" t="str">
        <x:v>Publication-ready constituent inventory</x:v>
      </x:c>
      <x:c r="G87" s="21" t="n">
        <x:v>60</x:v>
      </x:c>
      <x:c r="H87" s="21" t="str">
        <x:v>P2_MEDIUM</x:v>
      </x:c>
      <x:c r="I87" s="21" t="str">
        <x:v>INVENTORY_CONSTITUENTS</x:v>
      </x:c>
      <x:c r="J87" s="21" t="str">
        <x:v>OPEN</x:v>
      </x:c>
      <x:c r="K87" s="27" t="b">
        <x:v>0</x:v>
      </x:c>
      <x:c r="L87" s="27" t="b">
        <x:v>0</x:v>
      </x:c>
      <x:c r="M87" s="21" t="str">
        <x:v>BLOCKED</x:v>
      </x:c>
      <x:c r="N87" s="21" t="str">
        <x:v>BLOCKED</x:v>
      </x:c>
    </x:row>
    <x:row r="88">
      <x:c r="A88" s="21" t="str">
        <x:v>HPR-200</x:v>
      </x:c>
      <x:c r="B88" s="21" t="str">
        <x:v>site-b5f00132ee24-W5-H02</x:v>
      </x:c>
      <x:c r="C88" s="21" t="str">
        <x:v>site-b5f00132ee24</x:v>
      </x:c>
      <x:c r="D88" s="21" t="str">
        <x:v>عين السلطان</x:v>
      </x:c>
      <x:c r="E88" s="21" t="str">
        <x:v>أريحا</x:v>
      </x:c>
      <x:c r="F88" s="21" t="str">
        <x:v>Detailed hydrological chronology</x:v>
      </x:c>
      <x:c r="G88" s="21" t="n">
        <x:v>55</x:v>
      </x:c>
      <x:c r="H88" s="21" t="str">
        <x:v>P2_MEDIUM</x:v>
      </x:c>
      <x:c r="I88" s="21" t="str">
        <x:v>ARCHAEOLOGICAL_CHRONOLOGY</x:v>
      </x:c>
      <x:c r="J88" s="21" t="str">
        <x:v>OPEN</x:v>
      </x:c>
      <x:c r="K88" s="27" t="b">
        <x:v>0</x:v>
      </x:c>
      <x:c r="L88" s="27" t="b">
        <x:v>0</x:v>
      </x:c>
      <x:c r="M88" s="21" t="str">
        <x:v>BLOCKED</x:v>
      </x:c>
      <x:c r="N88" s="21" t="str">
        <x:v>BLOCKED</x:v>
      </x:c>
    </x:row>
    <x:row r="89">
      <x:c r="A89" s="21" t="str">
        <x:v>HPR-041</x:v>
      </x:c>
      <x:c r="B89" s="21" t="str">
        <x:v>site-0dc57168d963-W2-H02</x:v>
      </x:c>
      <x:c r="C89" s="21" t="str">
        <x:v>site-0dc57168d963</x:v>
      </x:c>
      <x:c r="D89" s="21" t="str">
        <x:v>مغارة البطاركة (جزء من الحرم)</x:v>
      </x:c>
      <x:c r="E89" s="21" t="str">
        <x:v>الخليل</x:v>
      </x:c>
      <x:c r="F89" s="21" t="str">
        <x:v>Canaanite dating</x:v>
      </x:c>
      <x:c r="G89" s="21" t="n">
        <x:v>55</x:v>
      </x:c>
      <x:c r="H89" s="21" t="str">
        <x:v>P2_MEDIUM</x:v>
      </x:c>
      <x:c r="I89" s="21" t="str">
        <x:v>ARCHAEOLOGICAL_CHRONOLOGY</x:v>
      </x:c>
      <x:c r="J89" s="21" t="str">
        <x:v>OPEN</x:v>
      </x:c>
      <x:c r="K89" s="27" t="b">
        <x:v>0</x:v>
      </x:c>
      <x:c r="L89" s="27" t="b">
        <x:v>0</x:v>
      </x:c>
      <x:c r="M89" s="21" t="str">
        <x:v>BLOCKED</x:v>
      </x:c>
      <x:c r="N89" s="21" t="str">
        <x:v>BLOCKED</x:v>
      </x:c>
    </x:row>
    <x:row r="90">
      <x:c r="A90" s="21" t="str">
        <x:v>HPR-030</x:v>
      </x:c>
      <x:c r="B90" s="21" t="str">
        <x:v>site-2310c1600481-W2-H02</x:v>
      </x:c>
      <x:c r="C90" s="21" t="str">
        <x:v>site-2310c1600481</x:v>
      </x:c>
      <x:c r="D90" s="21" t="str">
        <x:v>خان الحطب</x:v>
      </x:c>
      <x:c r="E90" s="21" t="str">
        <x:v>الخليل</x:v>
      </x:c>
      <x:c r="F90" s="21" t="str">
        <x:v>Ottoman date</x:v>
      </x:c>
      <x:c r="G90" s="21" t="n">
        <x:v>55</x:v>
      </x:c>
      <x:c r="H90" s="21" t="str">
        <x:v>P2_MEDIUM</x:v>
      </x:c>
      <x:c r="I90" s="21" t="str">
        <x:v>ARCHAEOLOGICAL_CHRONOLOGY</x:v>
      </x:c>
      <x:c r="J90" s="21" t="str">
        <x:v>OPEN</x:v>
      </x:c>
      <x:c r="K90" s="27" t="b">
        <x:v>0</x:v>
      </x:c>
      <x:c r="L90" s="27" t="b">
        <x:v>0</x:v>
      </x:c>
      <x:c r="M90" s="21" t="str">
        <x:v>BLOCKED</x:v>
      </x:c>
      <x:c r="N90" s="21" t="str">
        <x:v>BLOCKED</x:v>
      </x:c>
    </x:row>
    <x:row r="91">
      <x:c r="A91" s="21" t="str">
        <x:v>HPR-037</x:v>
      </x:c>
      <x:c r="B91" s="21" t="str">
        <x:v>site-6162b1da6edc-W2-H03</x:v>
      </x:c>
      <x:c r="C91" s="21" t="str">
        <x:v>site-6162b1da6edc</x:v>
      </x:c>
      <x:c r="D91" s="21" t="str">
        <x:v>عين سارة</x:v>
      </x:c>
      <x:c r="E91" s="21" t="str">
        <x:v>الخليل</x:v>
      </x:c>
      <x:c r="F91" s="21" t="str">
        <x:v>Exact coordinates</x:v>
      </x:c>
      <x:c r="G91" s="21" t="n">
        <x:v>55</x:v>
      </x:c>
      <x:c r="H91" s="21" t="str">
        <x:v>P2_MEDIUM</x:v>
      </x:c>
      <x:c r="I91" s="21" t="str">
        <x:v>IDENTITY_LOCATION_BOUNDARY_COORDINATES</x:v>
      </x:c>
      <x:c r="J91" s="21" t="str">
        <x:v>OPEN</x:v>
      </x:c>
      <x:c r="K91" s="27" t="b">
        <x:v>0</x:v>
      </x:c>
      <x:c r="L91" s="27" t="b">
        <x:v>1</x:v>
      </x:c>
      <x:c r="M91" s="21" t="str">
        <x:v>BLOCKED</x:v>
      </x:c>
      <x:c r="N91" s="21" t="str">
        <x:v>BLOCKED</x:v>
      </x:c>
    </x:row>
    <x:row r="92">
      <x:c r="A92" s="21" t="str">
        <x:v>HPR-044</x:v>
      </x:c>
      <x:c r="B92" s="21" t="str">
        <x:v>site-7532d020842e-W2-H02</x:v>
      </x:c>
      <x:c r="C92" s="21" t="str">
        <x:v>site-7532d020842e</x:v>
      </x:c>
      <x:c r="D92" s="21" t="str">
        <x:v>مقام الشيخ علي البكاء</x:v>
      </x:c>
      <x:c r="E92" s="21" t="str">
        <x:v>الخليل</x:v>
      </x:c>
      <x:c r="F92" s="21" t="str">
        <x:v>Maqam identity</x:v>
      </x:c>
      <x:c r="G92" s="21" t="n">
        <x:v>55</x:v>
      </x:c>
      <x:c r="H92" s="21" t="str">
        <x:v>P2_MEDIUM</x:v>
      </x:c>
      <x:c r="I92" s="21" t="str">
        <x:v>IDENTITY_LOCATION_BOUNDARY_COORDINATES</x:v>
      </x:c>
      <x:c r="J92" s="21" t="str">
        <x:v>OPEN</x:v>
      </x:c>
      <x:c r="K92" s="27" t="b">
        <x:v>0</x:v>
      </x:c>
      <x:c r="L92" s="27" t="b">
        <x:v>1</x:v>
      </x:c>
      <x:c r="M92" s="21" t="str">
        <x:v>BLOCKED</x:v>
      </x:c>
      <x:c r="N92" s="21" t="str">
        <x:v>BLOCKED</x:v>
      </x:c>
    </x:row>
    <x:row r="93">
      <x:c r="A93" s="21" t="str">
        <x:v>HPR-038</x:v>
      </x:c>
      <x:c r="B93" s="21" t="str">
        <x:v>site-d2c9e9bc9652-W2-H01</x:v>
      </x:c>
      <x:c r="C93" s="21" t="str">
        <x:v>site-d2c9e9bc9652</x:v>
      </x:c>
      <x:c r="D93" s="21" t="str">
        <x:v>قلعة الكرمل (دير سامت)</x:v>
      </x:c>
      <x:c r="E93" s="21" t="str">
        <x:v>الخليل</x:v>
      </x:c>
      <x:c r="F93" s="21" t="str">
        <x:v>Roman/Crusader/Ayyubid sequence</x:v>
      </x:c>
      <x:c r="G93" s="21" t="n">
        <x:v>55</x:v>
      </x:c>
      <x:c r="H93" s="21" t="str">
        <x:v>P2_MEDIUM</x:v>
      </x:c>
      <x:c r="I93" s="21" t="str">
        <x:v>ARCHAEOLOGICAL_CHRONOLOGY</x:v>
      </x:c>
      <x:c r="J93" s="21" t="str">
        <x:v>OPEN</x:v>
      </x:c>
      <x:c r="K93" s="27" t="b">
        <x:v>0</x:v>
      </x:c>
      <x:c r="L93" s="27" t="b">
        <x:v>0</x:v>
      </x:c>
      <x:c r="M93" s="21" t="str">
        <x:v>BLOCKED</x:v>
      </x:c>
      <x:c r="N93" s="21" t="str">
        <x:v>BLOCKED</x:v>
      </x:c>
    </x:row>
    <x:row r="94">
      <x:c r="A94" s="21" t="str">
        <x:v>HPR-022</x:v>
      </x:c>
      <x:c r="B94" s="21" t="str">
        <x:v>site-f60be7cd7d5e-W2-H01</x:v>
      </x:c>
      <x:c r="C94" s="21" t="str">
        <x:v>site-f60be7cd7d5e</x:v>
      </x:c>
      <x:c r="D94" s="21" t="str">
        <x:v>بيت أمر</x:v>
      </x:c>
      <x:c r="E94" s="21" t="str">
        <x:v>الخليل</x:v>
      </x:c>
      <x:c r="F94" s="21" t="str">
        <x:v>Roman/Byzantine/Islamic phases</x:v>
      </x:c>
      <x:c r="G94" s="21" t="n">
        <x:v>55</x:v>
      </x:c>
      <x:c r="H94" s="21" t="str">
        <x:v>P2_MEDIUM</x:v>
      </x:c>
      <x:c r="I94" s="21" t="str">
        <x:v>ARCHAEOLOGICAL_CHRONOLOGY</x:v>
      </x:c>
      <x:c r="J94" s="21" t="str">
        <x:v>OPEN</x:v>
      </x:c>
      <x:c r="K94" s="27" t="b">
        <x:v>0</x:v>
      </x:c>
      <x:c r="L94" s="27" t="b">
        <x:v>0</x:v>
      </x:c>
      <x:c r="M94" s="21" t="str">
        <x:v>BLOCKED</x:v>
      </x:c>
      <x:c r="N94" s="21" t="str">
        <x:v>BLOCKED</x:v>
      </x:c>
    </x:row>
    <x:row r="95">
      <x:c r="A95" s="21" t="str">
        <x:v>HPR-016</x:v>
      </x:c>
      <x:c r="B95" s="21" t="str">
        <x:v>site-83d3025c4675-W2-H01</x:v>
      </x:c>
      <x:c r="C95" s="21" t="str">
        <x:v>site-83d3025c4675</x:v>
      </x:c>
      <x:c r="D95" s="21" t="str">
        <x:v>قلعة القدس (برج داود)</x:v>
      </x:c>
      <x:c r="E95" s="21" t="str">
        <x:v>القدس</x:v>
      </x:c>
      <x:c r="F95" s="21" t="str">
        <x:v>Exact attribution of each tower and phase</x:v>
      </x:c>
      <x:c r="G95" s="21" t="n">
        <x:v>55</x:v>
      </x:c>
      <x:c r="H95" s="21" t="str">
        <x:v>P2_MEDIUM</x:v>
      </x:c>
      <x:c r="I95" s="21" t="str">
        <x:v>ARCHAEOLOGICAL_CHRONOLOGY; RELIGIOUS_ATTRIBUTION_CONTESTED</x:v>
      </x:c>
      <x:c r="J95" s="21" t="str">
        <x:v>OPEN</x:v>
      </x:c>
      <x:c r="K95" s="27" t="b">
        <x:v>0</x:v>
      </x:c>
      <x:c r="L95" s="27" t="b">
        <x:v>0</x:v>
      </x:c>
      <x:c r="M95" s="21" t="str">
        <x:v>BLOCKED</x:v>
      </x:c>
      <x:c r="N95" s="21" t="str">
        <x:v>BLOCKED</x:v>
      </x:c>
    </x:row>
    <x:row r="96">
      <x:c r="A96" s="21" t="str">
        <x:v>HPR-010</x:v>
      </x:c>
      <x:c r="B96" s="21" t="str">
        <x:v>site-9b42bff63df0-W2-H03</x:v>
      </x:c>
      <x:c r="C96" s="21" t="str">
        <x:v>site-9b42bff63df0</x:v>
      </x:c>
      <x:c r="D96" s="21" t="str">
        <x:v>خان الجوابرة</x:v>
      </x:c>
      <x:c r="E96" s="21" t="str">
        <x:v>القدس</x:v>
      </x:c>
      <x:c r="F96" s="21" t="str">
        <x:v>Exact location</x:v>
      </x:c>
      <x:c r="G96" s="21" t="n">
        <x:v>55</x:v>
      </x:c>
      <x:c r="H96" s="21" t="str">
        <x:v>P2_MEDIUM</x:v>
      </x:c>
      <x:c r="I96" s="21" t="str">
        <x:v>IDENTITY_LOCATION_BOUNDARY_COORDINATES</x:v>
      </x:c>
      <x:c r="J96" s="21" t="str">
        <x:v>OPEN</x:v>
      </x:c>
      <x:c r="K96" s="27" t="b">
        <x:v>0</x:v>
      </x:c>
      <x:c r="L96" s="27" t="b">
        <x:v>1</x:v>
      </x:c>
      <x:c r="M96" s="21" t="str">
        <x:v>BLOCKED</x:v>
      </x:c>
      <x:c r="N96" s="21" t="str">
        <x:v>BLOCKED</x:v>
      </x:c>
    </x:row>
    <x:row r="97">
      <x:c r="A97" s="21" t="str">
        <x:v>HPR-053</x:v>
      </x:c>
      <x:c r="B97" s="21" t="str">
        <x:v>site-133155518939-W2-H01</x:v>
      </x:c>
      <x:c r="C97" s="21" t="str">
        <x:v>site-133155518939</x:v>
      </x:c>
      <x:c r="D97" s="21" t="str">
        <x:v>قصر هيروديون</x:v>
      </x:c>
      <x:c r="E97" s="21" t="str">
        <x:v>بيت لحم</x:v>
      </x:c>
      <x:c r="F97" s="21" t="str">
        <x:v>Construction attribution</x:v>
      </x:c>
      <x:c r="G97" s="21" t="n">
        <x:v>55</x:v>
      </x:c>
      <x:c r="H97" s="21" t="str">
        <x:v>P2_MEDIUM</x:v>
      </x:c>
      <x:c r="I97" s="21" t="str">
        <x:v>ARCHAEOLOGICAL_CHRONOLOGY; RELIGIOUS_ATTRIBUTION_CONTESTED</x:v>
      </x:c>
      <x:c r="J97" s="21" t="str">
        <x:v>OPEN</x:v>
      </x:c>
      <x:c r="K97" s="27" t="b">
        <x:v>0</x:v>
      </x:c>
      <x:c r="L97" s="27" t="b">
        <x:v>0</x:v>
      </x:c>
      <x:c r="M97" s="21" t="str">
        <x:v>BLOCKED</x:v>
      </x:c>
      <x:c r="N97" s="21" t="str">
        <x:v>BLOCKED</x:v>
      </x:c>
    </x:row>
    <x:row r="98">
      <x:c r="A98" s="21" t="str">
        <x:v>HPR-056</x:v>
      </x:c>
      <x:c r="B98" s="21" t="str">
        <x:v>site-63fe9eba7871-W2-H01</x:v>
      </x:c>
      <x:c r="C98" s="21" t="str">
        <x:v>site-63fe9eba7871</x:v>
      </x:c>
      <x:c r="D98" s="21" t="str">
        <x:v>قلعة البرك</x:v>
      </x:c>
      <x:c r="E98" s="21" t="str">
        <x:v>بيت لحم</x:v>
      </x:c>
      <x:c r="F98" s="21" t="str">
        <x:v>Exact construction date</x:v>
      </x:c>
      <x:c r="G98" s="21" t="n">
        <x:v>55</x:v>
      </x:c>
      <x:c r="H98" s="21" t="str">
        <x:v>P2_MEDIUM</x:v>
      </x:c>
      <x:c r="I98" s="21" t="str">
        <x:v>ARCHAEOLOGICAL_CHRONOLOGY</x:v>
      </x:c>
      <x:c r="J98" s="21" t="str">
        <x:v>OPEN</x:v>
      </x:c>
      <x:c r="K98" s="27" t="b">
        <x:v>0</x:v>
      </x:c>
      <x:c r="L98" s="27" t="b">
        <x:v>0</x:v>
      </x:c>
      <x:c r="M98" s="21" t="str">
        <x:v>BLOCKED</x:v>
      </x:c>
      <x:c r="N98" s="21" t="str">
        <x:v>BLOCKED</x:v>
      </x:c>
    </x:row>
    <x:row r="99">
      <x:c r="A99" s="21" t="str">
        <x:v>HPR-049</x:v>
      </x:c>
      <x:c r="B99" s="21" t="str">
        <x:v>site-f97aa993c98b-W2-H01</x:v>
      </x:c>
      <x:c r="C99" s="21" t="str">
        <x:v>site-f97aa993c98b</x:v>
      </x:c>
      <x:c r="D99" s="21" t="str">
        <x:v>دير الجنة (الخضر)</x:v>
      </x:c>
      <x:c r="E99" s="21" t="str">
        <x:v>بيت لحم</x:v>
      </x:c>
      <x:c r="F99" s="21" t="str">
        <x:v>Synonymy of Deir al-Jannah and St George monastery</x:v>
      </x:c>
      <x:c r="G99" s="21" t="n">
        <x:v>55</x:v>
      </x:c>
      <x:c r="H99" s="21" t="str">
        <x:v>P2_MEDIUM</x:v>
      </x:c>
      <x:c r="I99" s="21" t="str">
        <x:v>IDENTITY_LOCATION_BOUNDARY_COORDINATES</x:v>
      </x:c>
      <x:c r="J99" s="21" t="str">
        <x:v>OPEN</x:v>
      </x:c>
      <x:c r="K99" s="27" t="b">
        <x:v>0</x:v>
      </x:c>
      <x:c r="L99" s="27" t="b">
        <x:v>1</x:v>
      </x:c>
      <x:c r="M99" s="21" t="str">
        <x:v>BLOCKED</x:v>
      </x:c>
      <x:c r="N99" s="21" t="str">
        <x:v>BLOCKED</x:v>
      </x:c>
    </x:row>
    <x:row r="100">
      <x:c r="A100" s="21" t="str">
        <x:v>HPR-117</x:v>
      </x:c>
      <x:c r="B100" s="21" t="str">
        <x:v>site-0ae63f2b6a17-W4-H01</x:v>
      </x:c>
      <x:c r="C100" s="21" t="str">
        <x:v>site-0ae63f2b6a17</x:v>
      </x:c>
      <x:c r="D100" s="21" t="str">
        <x:v>تل جنين</x:v>
      </x:c>
      <x:c r="E100" s="21" t="str">
        <x:v>جنين</x:v>
      </x:c>
      <x:c r="F100" s="21" t="str">
        <x:v>Exact archaeological identity</x:v>
      </x:c>
      <x:c r="G100" s="21" t="n">
        <x:v>55</x:v>
      </x:c>
      <x:c r="H100" s="21" t="str">
        <x:v>P2_MEDIUM</x:v>
      </x:c>
      <x:c r="I100" s="21" t="str">
        <x:v>IDENTITY_LOCATION_BOUNDARY_COORDINATES</x:v>
      </x:c>
      <x:c r="J100" s="21" t="str">
        <x:v>OPEN</x:v>
      </x:c>
      <x:c r="K100" s="27" t="b">
        <x:v>0</x:v>
      </x:c>
      <x:c r="L100" s="27" t="b">
        <x:v>1</x:v>
      </x:c>
      <x:c r="M100" s="21" t="str">
        <x:v>BLOCKED</x:v>
      </x:c>
      <x:c r="N100" s="21" t="str">
        <x:v>BLOCKED</x:v>
      </x:c>
    </x:row>
    <x:row r="101">
      <x:c r="A101" s="21" t="str">
        <x:v>HPR-118</x:v>
      </x:c>
      <x:c r="B101" s="21" t="str">
        <x:v>site-0ae63f2b6a17-W4-H02</x:v>
      </x:c>
      <x:c r="C101" s="21" t="str">
        <x:v>site-0ae63f2b6a17</x:v>
      </x:c>
      <x:c r="D101" s="21" t="str">
        <x:v>تل جنين</x:v>
      </x:c>
      <x:c r="E101" s="21" t="str">
        <x:v>جنين</x:v>
      </x:c>
      <x:c r="F101" s="21" t="str">
        <x:v>Boundary</x:v>
      </x:c>
      <x:c r="G101" s="21" t="n">
        <x:v>55</x:v>
      </x:c>
      <x:c r="H101" s="21" t="str">
        <x:v>P2_MEDIUM</x:v>
      </x:c>
      <x:c r="I101" s="21" t="str">
        <x:v>IDENTITY_LOCATION_BOUNDARY_COORDINATES</x:v>
      </x:c>
      <x:c r="J101" s="21" t="str">
        <x:v>OPEN</x:v>
      </x:c>
      <x:c r="K101" s="27" t="b">
        <x:v>0</x:v>
      </x:c>
      <x:c r="L101" s="27" t="b">
        <x:v>1</x:v>
      </x:c>
      <x:c r="M101" s="21" t="str">
        <x:v>BLOCKED</x:v>
      </x:c>
      <x:c r="N101" s="21" t="str">
        <x:v>BLOCKED</x:v>
      </x:c>
    </x:row>
    <x:row r="102">
      <x:c r="A102" s="21" t="str">
        <x:v>HPR-120</x:v>
      </x:c>
      <x:c r="B102" s="21" t="str">
        <x:v>site-0ae63f2b6a17-W4-H04</x:v>
      </x:c>
      <x:c r="C102" s="21" t="str">
        <x:v>site-0ae63f2b6a17</x:v>
      </x:c>
      <x:c r="D102" s="21" t="str">
        <x:v>تل جنين</x:v>
      </x:c>
      <x:c r="E102" s="21" t="str">
        <x:v>جنين</x:v>
      </x:c>
      <x:c r="F102" s="21" t="str">
        <x:v>Coordinates</x:v>
      </x:c>
      <x:c r="G102" s="21" t="n">
        <x:v>55</x:v>
      </x:c>
      <x:c r="H102" s="21" t="str">
        <x:v>P2_MEDIUM</x:v>
      </x:c>
      <x:c r="I102" s="21" t="str">
        <x:v>IDENTITY_LOCATION_BOUNDARY_COORDINATES</x:v>
      </x:c>
      <x:c r="J102" s="21" t="str">
        <x:v>OPEN</x:v>
      </x:c>
      <x:c r="K102" s="27" t="b">
        <x:v>0</x:v>
      </x:c>
      <x:c r="L102" s="27" t="b">
        <x:v>1</x:v>
      </x:c>
      <x:c r="M102" s="21" t="str">
        <x:v>BLOCKED</x:v>
      </x:c>
      <x:c r="N102" s="21" t="str">
        <x:v>BLOCKED</x:v>
      </x:c>
    </x:row>
    <x:row r="103">
      <x:c r="A103" s="21" t="str">
        <x:v>HPR-126</x:v>
      </x:c>
      <x:c r="B103" s="21" t="str">
        <x:v>site-fc3cde18193c-W4-H01</x:v>
      </x:c>
      <x:c r="C103" s="21" t="str">
        <x:v>site-fc3cde18193c</x:v>
      </x:c>
      <x:c r="D103" s="21" t="str">
        <x:v>مقام الشيخ حسن</x:v>
      </x:c>
      <x:c r="E103" s="21" t="str">
        <x:v>جنين</x:v>
      </x:c>
      <x:c r="F103" s="21" t="str">
        <x:v>Identity</x:v>
      </x:c>
      <x:c r="G103" s="21" t="n">
        <x:v>55</x:v>
      </x:c>
      <x:c r="H103" s="21" t="str">
        <x:v>P2_MEDIUM</x:v>
      </x:c>
      <x:c r="I103" s="21" t="str">
        <x:v>IDENTITY_LOCATION_BOUNDARY_COORDINATES</x:v>
      </x:c>
      <x:c r="J103" s="21" t="str">
        <x:v>OPEN</x:v>
      </x:c>
      <x:c r="K103" s="27" t="b">
        <x:v>0</x:v>
      </x:c>
      <x:c r="L103" s="27" t="b">
        <x:v>1</x:v>
      </x:c>
      <x:c r="M103" s="21" t="str">
        <x:v>BLOCKED</x:v>
      </x:c>
      <x:c r="N103" s="21" t="str">
        <x:v>BLOCKED</x:v>
      </x:c>
    </x:row>
    <x:row r="104">
      <x:c r="A104" s="21" t="str">
        <x:v>HPR-127</x:v>
      </x:c>
      <x:c r="B104" s="21" t="str">
        <x:v>site-fc3cde18193c-W4-H02</x:v>
      </x:c>
      <x:c r="C104" s="21" t="str">
        <x:v>site-fc3cde18193c</x:v>
      </x:c>
      <x:c r="D104" s="21" t="str">
        <x:v>مقام الشيخ حسن</x:v>
      </x:c>
      <x:c r="E104" s="21" t="str">
        <x:v>جنين</x:v>
      </x:c>
      <x:c r="F104" s="21" t="str">
        <x:v>Location</x:v>
      </x:c>
      <x:c r="G104" s="21" t="n">
        <x:v>55</x:v>
      </x:c>
      <x:c r="H104" s="21" t="str">
        <x:v>P2_MEDIUM</x:v>
      </x:c>
      <x:c r="I104" s="21" t="str">
        <x:v>IDENTITY_LOCATION_BOUNDARY_COORDINATES</x:v>
      </x:c>
      <x:c r="J104" s="21" t="str">
        <x:v>OPEN</x:v>
      </x:c>
      <x:c r="K104" s="27" t="b">
        <x:v>0</x:v>
      </x:c>
      <x:c r="L104" s="27" t="b">
        <x:v>1</x:v>
      </x:c>
      <x:c r="M104" s="21" t="str">
        <x:v>BLOCKED</x:v>
      </x:c>
      <x:c r="N104" s="21" t="str">
        <x:v>BLOCKED</x:v>
      </x:c>
    </x:row>
    <x:row r="105">
      <x:c r="A105" s="21" t="str">
        <x:v>HPR-192</x:v>
      </x:c>
      <x:c r="B105" s="21" t="str">
        <x:v>site-78a64ec5ef15-W5-H04</x:v>
      </x:c>
      <x:c r="C105" s="21" t="str">
        <x:v>site-78a64ec5ef15</x:v>
      </x:c>
      <x:c r="D105" s="21" t="str">
        <x:v>قصر الريان</x:v>
      </x:c>
      <x:c r="E105" s="21" t="str">
        <x:v>رام الله والبيرة</x:v>
      </x:c>
      <x:c r="F105" s="21" t="str">
        <x:v>Coordinates and publication use</x:v>
      </x:c>
      <x:c r="G105" s="21" t="n">
        <x:v>55</x:v>
      </x:c>
      <x:c r="H105" s="21" t="str">
        <x:v>P2_MEDIUM</x:v>
      </x:c>
      <x:c r="I105" s="21" t="str">
        <x:v>IDENTITY_LOCATION_BOUNDARY_COORDINATES</x:v>
      </x:c>
      <x:c r="J105" s="21" t="str">
        <x:v>OPEN</x:v>
      </x:c>
      <x:c r="K105" s="27" t="b">
        <x:v>0</x:v>
      </x:c>
      <x:c r="L105" s="27" t="b">
        <x:v>1</x:v>
      </x:c>
      <x:c r="M105" s="21" t="str">
        <x:v>BLOCKED</x:v>
      </x:c>
      <x:c r="N105" s="21" t="str">
        <x:v>BLOCKED</x:v>
      </x:c>
    </x:row>
    <x:row r="106">
      <x:c r="A106" s="21" t="str">
        <x:v>HPR-177</x:v>
      </x:c>
      <x:c r="B106" s="21" t="str">
        <x:v>site-e2a5c15f76f6-W5-H01</x:v>
      </x:c>
      <x:c r="C106" s="21" t="str">
        <x:v>site-e2a5c15f76f6</x:v>
      </x:c>
      <x:c r="D106" s="21" t="str">
        <x:v>بلدة بيرزيت القديمة</x:v>
      </x:c>
      <x:c r="E106" s="21" t="str">
        <x:v>رام الله والبيرة</x:v>
      </x:c>
      <x:c r="F106" s="21" t="str">
        <x:v>Complete historic-centre chronology</x:v>
      </x:c>
      <x:c r="G106" s="21" t="n">
        <x:v>55</x:v>
      </x:c>
      <x:c r="H106" s="21" t="str">
        <x:v>P2_MEDIUM</x:v>
      </x:c>
      <x:c r="I106" s="21" t="str">
        <x:v>ARCHAEOLOGICAL_CHRONOLOGY</x:v>
      </x:c>
      <x:c r="J106" s="21" t="str">
        <x:v>OPEN</x:v>
      </x:c>
      <x:c r="K106" s="27" t="b">
        <x:v>0</x:v>
      </x:c>
      <x:c r="L106" s="27" t="b">
        <x:v>0</x:v>
      </x:c>
      <x:c r="M106" s="21" t="str">
        <x:v>BLOCKED</x:v>
      </x:c>
      <x:c r="N106" s="21" t="str">
        <x:v>BLOCKED</x:v>
      </x:c>
    </x:row>
    <x:row r="107">
      <x:c r="A107" s="21" t="str">
        <x:v>HPR-158</x:v>
      </x:c>
      <x:c r="B107" s="21" t="str">
        <x:v>site-69f3ad775733-W4-H01</x:v>
      </x:c>
      <x:c r="C107" s="21" t="str">
        <x:v>site-69f3ad775733</x:v>
      </x:c>
      <x:c r="D107" s="21" t="str">
        <x:v>بلدة دير استيا التاريخية</x:v>
      </x:c>
      <x:c r="E107" s="21" t="str">
        <x:v>سلفيت</x:v>
      </x:c>
      <x:c r="F107" s="21" t="str">
        <x:v>Roman/Byzantine chronology</x:v>
      </x:c>
      <x:c r="G107" s="21" t="n">
        <x:v>55</x:v>
      </x:c>
      <x:c r="H107" s="21" t="str">
        <x:v>P2_MEDIUM</x:v>
      </x:c>
      <x:c r="I107" s="21" t="str">
        <x:v>ARCHAEOLOGICAL_CHRONOLOGY</x:v>
      </x:c>
      <x:c r="J107" s="21" t="str">
        <x:v>OPEN</x:v>
      </x:c>
      <x:c r="K107" s="27" t="b">
        <x:v>0</x:v>
      </x:c>
      <x:c r="L107" s="27" t="b">
        <x:v>0</x:v>
      </x:c>
      <x:c r="M107" s="21" t="str">
        <x:v>BLOCKED</x:v>
      </x:c>
      <x:c r="N107" s="21" t="str">
        <x:v>BLOCKED</x:v>
      </x:c>
    </x:row>
    <x:row r="108">
      <x:c r="A108" s="21" t="str">
        <x:v>HPR-165</x:v>
      </x:c>
      <x:c r="B108" s="21" t="str">
        <x:v>site-b2a7e03ecda1-W4-H02</x:v>
      </x:c>
      <x:c r="C108" s="21" t="str">
        <x:v>site-b2a7e03ecda1</x:v>
      </x:c>
      <x:c r="D108" s="21" t="str">
        <x:v>قلعة كفل حارس</x:v>
      </x:c>
      <x:c r="E108" s="21" t="str">
        <x:v>سلفيت</x:v>
      </x:c>
      <x:c r="F108" s="21" t="str">
        <x:v>Castle boundary</x:v>
      </x:c>
      <x:c r="G108" s="21" t="n">
        <x:v>55</x:v>
      </x:c>
      <x:c r="H108" s="21" t="str">
        <x:v>P2_MEDIUM</x:v>
      </x:c>
      <x:c r="I108" s="21" t="str">
        <x:v>IDENTITY_LOCATION_BOUNDARY_COORDINATES</x:v>
      </x:c>
      <x:c r="J108" s="21" t="str">
        <x:v>OPEN</x:v>
      </x:c>
      <x:c r="K108" s="27" t="b">
        <x:v>0</x:v>
      </x:c>
      <x:c r="L108" s="27" t="b">
        <x:v>1</x:v>
      </x:c>
      <x:c r="M108" s="21" t="str">
        <x:v>BLOCKED</x:v>
      </x:c>
      <x:c r="N108" s="21" t="str">
        <x:v>BLOCKED</x:v>
      </x:c>
    </x:row>
    <x:row r="109">
      <x:c r="A109" s="21" t="str">
        <x:v>HPR-162</x:v>
      </x:c>
      <x:c r="B109" s="21" t="str">
        <x:v>site-ba91049d51a9-W4-H02</x:v>
      </x:c>
      <x:c r="C109" s="21" t="str">
        <x:v>site-ba91049d51a9</x:v>
      </x:c>
      <x:c r="D109" s="21" t="str">
        <x:v>عيون الماء الأثرية</x:v>
      </x:c>
      <x:c r="E109" s="21" t="str">
        <x:v>سلفيت</x:v>
      </x:c>
      <x:c r="F109" s="21" t="str">
        <x:v>Roman/Ottoman construction</x:v>
      </x:c>
      <x:c r="G109" s="21" t="n">
        <x:v>55</x:v>
      </x:c>
      <x:c r="H109" s="21" t="str">
        <x:v>P2_MEDIUM</x:v>
      </x:c>
      <x:c r="I109" s="21" t="str">
        <x:v>ARCHAEOLOGICAL_CHRONOLOGY</x:v>
      </x:c>
      <x:c r="J109" s="21" t="str">
        <x:v>OPEN</x:v>
      </x:c>
      <x:c r="K109" s="27" t="b">
        <x:v>0</x:v>
      </x:c>
      <x:c r="L109" s="27" t="b">
        <x:v>0</x:v>
      </x:c>
      <x:c r="M109" s="21" t="str">
        <x:v>BLOCKED</x:v>
      </x:c>
      <x:c r="N109" s="21" t="str">
        <x:v>BLOCKED</x:v>
      </x:c>
    </x:row>
    <x:row r="110">
      <x:c r="A110" s="21" t="str">
        <x:v>HPR-170</x:v>
      </x:c>
      <x:c r="B110" s="21" t="str">
        <x:v>site-4ab7d2100cc2-W4-H01</x:v>
      </x:c>
      <x:c r="C110" s="21" t="str">
        <x:v>site-4ab7d2100cc2</x:v>
      </x:c>
      <x:c r="D110" s="21" t="str">
        <x:v>خربة طوباس القديمة</x:v>
      </x:c>
      <x:c r="E110" s="21" t="str">
        <x:v>طوباس</x:v>
      </x:c>
      <x:c r="F110" s="21" t="str">
        <x:v>Identity</x:v>
      </x:c>
      <x:c r="G110" s="21" t="n">
        <x:v>55</x:v>
      </x:c>
      <x:c r="H110" s="21" t="str">
        <x:v>P2_MEDIUM</x:v>
      </x:c>
      <x:c r="I110" s="21" t="str">
        <x:v>IDENTITY_LOCATION_BOUNDARY_COORDINATES</x:v>
      </x:c>
      <x:c r="J110" s="21" t="str">
        <x:v>OPEN</x:v>
      </x:c>
      <x:c r="K110" s="27" t="b">
        <x:v>0</x:v>
      </x:c>
      <x:c r="L110" s="27" t="b">
        <x:v>1</x:v>
      </x:c>
      <x:c r="M110" s="21" t="str">
        <x:v>BLOCKED</x:v>
      </x:c>
      <x:c r="N110" s="21" t="str">
        <x:v>BLOCKED</x:v>
      </x:c>
    </x:row>
    <x:row r="111">
      <x:c r="A111" s="21" t="str">
        <x:v>HPR-171</x:v>
      </x:c>
      <x:c r="B111" s="21" t="str">
        <x:v>site-4ab7d2100cc2-W4-H02</x:v>
      </x:c>
      <x:c r="C111" s="21" t="str">
        <x:v>site-4ab7d2100cc2</x:v>
      </x:c>
      <x:c r="D111" s="21" t="str">
        <x:v>خربة طوباس القديمة</x:v>
      </x:c>
      <x:c r="E111" s="21" t="str">
        <x:v>طوباس</x:v>
      </x:c>
      <x:c r="F111" s="21" t="str">
        <x:v>Location</x:v>
      </x:c>
      <x:c r="G111" s="21" t="n">
        <x:v>55</x:v>
      </x:c>
      <x:c r="H111" s="21" t="str">
        <x:v>P2_MEDIUM</x:v>
      </x:c>
      <x:c r="I111" s="21" t="str">
        <x:v>IDENTITY_LOCATION_BOUNDARY_COORDINATES</x:v>
      </x:c>
      <x:c r="J111" s="21" t="str">
        <x:v>OPEN</x:v>
      </x:c>
      <x:c r="K111" s="27" t="b">
        <x:v>0</x:v>
      </x:c>
      <x:c r="L111" s="27" t="b">
        <x:v>1</x:v>
      </x:c>
      <x:c r="M111" s="21" t="str">
        <x:v>BLOCKED</x:v>
      </x:c>
      <x:c r="N111" s="21" t="str">
        <x:v>BLOCKED</x:v>
      </x:c>
    </x:row>
    <x:row r="112">
      <x:c r="A112" s="21" t="str">
        <x:v>HPR-172</x:v>
      </x:c>
      <x:c r="B112" s="21" t="str">
        <x:v>site-4ab7d2100cc2-W4-H03</x:v>
      </x:c>
      <x:c r="C112" s="21" t="str">
        <x:v>site-4ab7d2100cc2</x:v>
      </x:c>
      <x:c r="D112" s="21" t="str">
        <x:v>خربة طوباس القديمة</x:v>
      </x:c>
      <x:c r="E112" s="21" t="str">
        <x:v>طوباس</x:v>
      </x:c>
      <x:c r="F112" s="21" t="str">
        <x:v>Boundary</x:v>
      </x:c>
      <x:c r="G112" s="21" t="n">
        <x:v>55</x:v>
      </x:c>
      <x:c r="H112" s="21" t="str">
        <x:v>P2_MEDIUM</x:v>
      </x:c>
      <x:c r="I112" s="21" t="str">
        <x:v>IDENTITY_LOCATION_BOUNDARY_COORDINATES</x:v>
      </x:c>
      <x:c r="J112" s="21" t="str">
        <x:v>OPEN</x:v>
      </x:c>
      <x:c r="K112" s="27" t="b">
        <x:v>0</x:v>
      </x:c>
      <x:c r="L112" s="27" t="b">
        <x:v>1</x:v>
      </x:c>
      <x:c r="M112" s="21" t="str">
        <x:v>BLOCKED</x:v>
      </x:c>
      <x:c r="N112" s="21" t="str">
        <x:v>BLOCKED</x:v>
      </x:c>
    </x:row>
    <x:row r="113">
      <x:c r="A113" s="21" t="str">
        <x:v>HPR-137</x:v>
      </x:c>
      <x:c r="B113" s="21" t="str">
        <x:v>site-0c0a379f20f7-W4-H01</x:v>
      </x:c>
      <x:c r="C113" s="21" t="str">
        <x:v>site-0c0a379f20f7</x:v>
      </x:c>
      <x:c r="D113" s="21" t="str">
        <x:v>خربة جبع</x:v>
      </x:c>
      <x:c r="E113" s="21" t="str">
        <x:v>طولكرم</x:v>
      </x:c>
      <x:c r="F113" s="21" t="str">
        <x:v>Exact locality</x:v>
      </x:c>
      <x:c r="G113" s="21" t="n">
        <x:v>55</x:v>
      </x:c>
      <x:c r="H113" s="21" t="str">
        <x:v>P2_MEDIUM</x:v>
      </x:c>
      <x:c r="I113" s="21" t="str">
        <x:v>IDENTITY_LOCATION_BOUNDARY_COORDINATES</x:v>
      </x:c>
      <x:c r="J113" s="21" t="str">
        <x:v>OPEN</x:v>
      </x:c>
      <x:c r="K113" s="27" t="b">
        <x:v>0</x:v>
      </x:c>
      <x:c r="L113" s="27" t="b">
        <x:v>1</x:v>
      </x:c>
      <x:c r="M113" s="21" t="str">
        <x:v>BLOCKED</x:v>
      </x:c>
      <x:c r="N113" s="21" t="str">
        <x:v>BLOCKED</x:v>
      </x:c>
    </x:row>
    <x:row r="114">
      <x:c r="A114" s="21" t="str">
        <x:v>HPR-139</x:v>
      </x:c>
      <x:c r="B114" s="21" t="str">
        <x:v>site-0c0a379f20f7-W4-H03</x:v>
      </x:c>
      <x:c r="C114" s="21" t="str">
        <x:v>site-0c0a379f20f7</x:v>
      </x:c>
      <x:c r="D114" s="21" t="str">
        <x:v>خربة جبع</x:v>
      </x:c>
      <x:c r="E114" s="21" t="str">
        <x:v>طولكرم</x:v>
      </x:c>
      <x:c r="F114" s="21" t="str">
        <x:v>Site boundary</x:v>
      </x:c>
      <x:c r="G114" s="21" t="n">
        <x:v>55</x:v>
      </x:c>
      <x:c r="H114" s="21" t="str">
        <x:v>P2_MEDIUM</x:v>
      </x:c>
      <x:c r="I114" s="21" t="str">
        <x:v>IDENTITY_LOCATION_BOUNDARY_COORDINATES</x:v>
      </x:c>
      <x:c r="J114" s="21" t="str">
        <x:v>OPEN</x:v>
      </x:c>
      <x:c r="K114" s="27" t="b">
        <x:v>0</x:v>
      </x:c>
      <x:c r="L114" s="27" t="b">
        <x:v>1</x:v>
      </x:c>
      <x:c r="M114" s="21" t="str">
        <x:v>BLOCKED</x:v>
      </x:c>
      <x:c r="N114" s="21" t="str">
        <x:v>BLOCKED</x:v>
      </x:c>
    </x:row>
    <x:row r="115">
      <x:c r="A115" s="21" t="str">
        <x:v>HPR-133</x:v>
      </x:c>
      <x:c r="B115" s="21" t="str">
        <x:v>site-7a4bd929848c-W4-H01</x:v>
      </x:c>
      <x:c r="C115" s="21" t="str">
        <x:v>site-7a4bd929848c</x:v>
      </x:c>
      <x:c r="D115" s="21" t="str">
        <x:v>خربة برج العبد</x:v>
      </x:c>
      <x:c r="E115" s="21" t="str">
        <x:v>طولكرم</x:v>
      </x:c>
      <x:c r="F115" s="21" t="str">
        <x:v>Identity</x:v>
      </x:c>
      <x:c r="G115" s="21" t="n">
        <x:v>55</x:v>
      </x:c>
      <x:c r="H115" s="21" t="str">
        <x:v>P2_MEDIUM</x:v>
      </x:c>
      <x:c r="I115" s="21" t="str">
        <x:v>IDENTITY_LOCATION_BOUNDARY_COORDINATES</x:v>
      </x:c>
      <x:c r="J115" s="21" t="str">
        <x:v>OPEN</x:v>
      </x:c>
      <x:c r="K115" s="27" t="b">
        <x:v>0</x:v>
      </x:c>
      <x:c r="L115" s="27" t="b">
        <x:v>1</x:v>
      </x:c>
      <x:c r="M115" s="21" t="str">
        <x:v>BLOCKED</x:v>
      </x:c>
      <x:c r="N115" s="21" t="str">
        <x:v>BLOCKED</x:v>
      </x:c>
    </x:row>
    <x:row r="116">
      <x:c r="A116" s="21" t="str">
        <x:v>HPR-134</x:v>
      </x:c>
      <x:c r="B116" s="21" t="str">
        <x:v>site-7a4bd929848c-W4-H02</x:v>
      </x:c>
      <x:c r="C116" s="21" t="str">
        <x:v>site-7a4bd929848c</x:v>
      </x:c>
      <x:c r="D116" s="21" t="str">
        <x:v>خربة برج العبد</x:v>
      </x:c>
      <x:c r="E116" s="21" t="str">
        <x:v>طولكرم</x:v>
      </x:c>
      <x:c r="F116" s="21" t="str">
        <x:v>Location</x:v>
      </x:c>
      <x:c r="G116" s="21" t="n">
        <x:v>55</x:v>
      </x:c>
      <x:c r="H116" s="21" t="str">
        <x:v>P2_MEDIUM</x:v>
      </x:c>
      <x:c r="I116" s="21" t="str">
        <x:v>IDENTITY_LOCATION_BOUNDARY_COORDINATES</x:v>
      </x:c>
      <x:c r="J116" s="21" t="str">
        <x:v>OPEN</x:v>
      </x:c>
      <x:c r="K116" s="27" t="b">
        <x:v>0</x:v>
      </x:c>
      <x:c r="L116" s="27" t="b">
        <x:v>1</x:v>
      </x:c>
      <x:c r="M116" s="21" t="str">
        <x:v>BLOCKED</x:v>
      </x:c>
      <x:c r="N116" s="21" t="str">
        <x:v>BLOCKED</x:v>
      </x:c>
    </x:row>
    <x:row r="117">
      <x:c r="A117" s="21" t="str">
        <x:v>HPR-143</x:v>
      </x:c>
      <x:c r="B117" s="21" t="str">
        <x:v>site-95d241c30366-W4-H01</x:v>
      </x:c>
      <x:c r="C117" s="21" t="str">
        <x:v>site-95d241c30366</x:v>
      </x:c>
      <x:c r="D117" s="21" t="str">
        <x:v>مقام الشيخ شلتوت</x:v>
      </x:c>
      <x:c r="E117" s="21" t="str">
        <x:v>طولكرم</x:v>
      </x:c>
      <x:c r="F117" s="21" t="str">
        <x:v>Identity</x:v>
      </x:c>
      <x:c r="G117" s="21" t="n">
        <x:v>55</x:v>
      </x:c>
      <x:c r="H117" s="21" t="str">
        <x:v>P2_MEDIUM</x:v>
      </x:c>
      <x:c r="I117" s="21" t="str">
        <x:v>IDENTITY_LOCATION_BOUNDARY_COORDINATES</x:v>
      </x:c>
      <x:c r="J117" s="21" t="str">
        <x:v>OPEN</x:v>
      </x:c>
      <x:c r="K117" s="27" t="b">
        <x:v>0</x:v>
      </x:c>
      <x:c r="L117" s="27" t="b">
        <x:v>1</x:v>
      </x:c>
      <x:c r="M117" s="21" t="str">
        <x:v>BLOCKED</x:v>
      </x:c>
      <x:c r="N117" s="21" t="str">
        <x:v>BLOCKED</x:v>
      </x:c>
    </x:row>
    <x:row r="118">
      <x:c r="A118" s="21" t="str">
        <x:v>HPR-144</x:v>
      </x:c>
      <x:c r="B118" s="21" t="str">
        <x:v>site-95d241c30366-W4-H02</x:v>
      </x:c>
      <x:c r="C118" s="21" t="str">
        <x:v>site-95d241c30366</x:v>
      </x:c>
      <x:c r="D118" s="21" t="str">
        <x:v>مقام الشيخ شلتوت</x:v>
      </x:c>
      <x:c r="E118" s="21" t="str">
        <x:v>طولكرم</x:v>
      </x:c>
      <x:c r="F118" s="21" t="str">
        <x:v>Location</x:v>
      </x:c>
      <x:c r="G118" s="21" t="n">
        <x:v>55</x:v>
      </x:c>
      <x:c r="H118" s="21" t="str">
        <x:v>P2_MEDIUM</x:v>
      </x:c>
      <x:c r="I118" s="21" t="str">
        <x:v>IDENTITY_LOCATION_BOUNDARY_COORDINATES</x:v>
      </x:c>
      <x:c r="J118" s="21" t="str">
        <x:v>OPEN</x:v>
      </x:c>
      <x:c r="K118" s="27" t="b">
        <x:v>0</x:v>
      </x:c>
      <x:c r="L118" s="27" t="b">
        <x:v>1</x:v>
      </x:c>
      <x:c r="M118" s="21" t="str">
        <x:v>BLOCKED</x:v>
      </x:c>
      <x:c r="N118" s="21" t="str">
        <x:v>BLOCKED</x:v>
      </x:c>
    </x:row>
    <x:row r="119">
      <x:c r="A119" s="21" t="str">
        <x:v>HPR-130</x:v>
      </x:c>
      <x:c r="B119" s="21" t="str">
        <x:v>site-a28891855f38-W4-H01</x:v>
      </x:c>
      <x:c r="C119" s="21" t="str">
        <x:v>site-a28891855f38</x:v>
      </x:c>
      <x:c r="D119" s="21" t="str">
        <x:v>بلدة دير الغصون</x:v>
      </x:c>
      <x:c r="E119" s="21" t="str">
        <x:v>طولكرم</x:v>
      </x:c>
      <x:c r="F119" s="21" t="str">
        <x:v>Historic-centre boundary</x:v>
      </x:c>
      <x:c r="G119" s="21" t="n">
        <x:v>55</x:v>
      </x:c>
      <x:c r="H119" s="21" t="str">
        <x:v>P2_MEDIUM</x:v>
      </x:c>
      <x:c r="I119" s="21" t="str">
        <x:v>IDENTITY_LOCATION_BOUNDARY_COORDINATES</x:v>
      </x:c>
      <x:c r="J119" s="21" t="str">
        <x:v>OPEN</x:v>
      </x:c>
      <x:c r="K119" s="27" t="b">
        <x:v>0</x:v>
      </x:c>
      <x:c r="L119" s="27" t="b">
        <x:v>1</x:v>
      </x:c>
      <x:c r="M119" s="21" t="str">
        <x:v>BLOCKED</x:v>
      </x:c>
      <x:c r="N119" s="21" t="str">
        <x:v>BLOCKED</x:v>
      </x:c>
    </x:row>
    <x:row r="120">
      <x:c r="A120" s="21" t="str">
        <x:v>HPR-062</x:v>
      </x:c>
      <x:c r="B120" s="21" t="str">
        <x:v>site-2e45744cdab4-W3-H01</x:v>
      </x:c>
      <x:c r="C120" s="21" t="str">
        <x:v>site-2e45744cdab4</x:v>
      </x:c>
      <x:c r="D120" s="21" t="str">
        <x:v>المسجد العمري الكبير</x:v>
      </x:c>
      <x:c r="E120" s="21" t="str">
        <x:v>غزة</x:v>
      </x:c>
      <x:c r="F120" s="21" t="str">
        <x:v>Complete pagan/Byzantine/Crusader/Islamic building sequence</x:v>
      </x:c>
      <x:c r="G120" s="21" t="n">
        <x:v>55</x:v>
      </x:c>
      <x:c r="H120" s="21" t="str">
        <x:v>P2_MEDIUM</x:v>
      </x:c>
      <x:c r="I120" s="21" t="str">
        <x:v>ARCHAEOLOGICAL_CHRONOLOGY</x:v>
      </x:c>
      <x:c r="J120" s="21" t="str">
        <x:v>OPEN</x:v>
      </x:c>
      <x:c r="K120" s="27" t="b">
        <x:v>0</x:v>
      </x:c>
      <x:c r="L120" s="27" t="b">
        <x:v>0</x:v>
      </x:c>
      <x:c r="M120" s="21" t="str">
        <x:v>BLOCKED</x:v>
      </x:c>
      <x:c r="N120" s="21" t="str">
        <x:v>BLOCKED</x:v>
      </x:c>
    </x:row>
    <x:row r="121">
      <x:c r="A121" s="21" t="str">
        <x:v>HPR-068</x:v>
      </x:c>
      <x:c r="B121" s="21" t="str">
        <x:v>site-3ded44be126d-W3-H01</x:v>
      </x:c>
      <x:c r="C121" s="21" t="str">
        <x:v>site-3ded44be126d</x:v>
      </x:c>
      <x:c r="D121" s="21" t="str">
        <x:v>حمام السمرة</x:v>
      </x:c>
      <x:c r="E121" s="21" t="str">
        <x:v>غزة</x:v>
      </x:c>
      <x:c r="F121" s="21" t="str">
        <x:v>Foundation date and founder community</x:v>
      </x:c>
      <x:c r="G121" s="21" t="n">
        <x:v>55</x:v>
      </x:c>
      <x:c r="H121" s="21" t="str">
        <x:v>P2_MEDIUM</x:v>
      </x:c>
      <x:c r="I121" s="21" t="str">
        <x:v>ARCHAEOLOGICAL_CHRONOLOGY</x:v>
      </x:c>
      <x:c r="J121" s="21" t="str">
        <x:v>OPEN</x:v>
      </x:c>
      <x:c r="K121" s="27" t="b">
        <x:v>0</x:v>
      </x:c>
      <x:c r="L121" s="27" t="b">
        <x:v>0</x:v>
      </x:c>
      <x:c r="M121" s="21" t="str">
        <x:v>BLOCKED</x:v>
      </x:c>
      <x:c r="N121" s="21" t="str">
        <x:v>BLOCKED</x:v>
      </x:c>
    </x:row>
    <x:row r="122">
      <x:c r="A122" s="21" t="str">
        <x:v>HPR-074</x:v>
      </x:c>
      <x:c r="B122" s="21" t="str">
        <x:v>site-e1e3de7b8519-W3-H01</x:v>
      </x:c>
      <x:c r="C122" s="21" t="str">
        <x:v>site-e1e3de7b8519</x:v>
      </x:c>
      <x:c r="D122" s="21" t="str">
        <x:v>كنيسة القديس برفيريوس</x:v>
      </x:c>
      <x:c r="E122" s="21" t="str">
        <x:v>غزة</x:v>
      </x:c>
      <x:c r="F122" s="21" t="str">
        <x:v>Full Byzantine/Crusader/later building chronology</x:v>
      </x:c>
      <x:c r="G122" s="21" t="n">
        <x:v>55</x:v>
      </x:c>
      <x:c r="H122" s="21" t="str">
        <x:v>P2_MEDIUM</x:v>
      </x:c>
      <x:c r="I122" s="21" t="str">
        <x:v>ARCHAEOLOGICAL_CHRONOLOGY</x:v>
      </x:c>
      <x:c r="J122" s="21" t="str">
        <x:v>OPEN</x:v>
      </x:c>
      <x:c r="K122" s="27" t="b">
        <x:v>0</x:v>
      </x:c>
      <x:c r="L122" s="27" t="b">
        <x:v>0</x:v>
      </x:c>
      <x:c r="M122" s="21" t="str">
        <x:v>BLOCKED</x:v>
      </x:c>
      <x:c r="N122" s="21" t="str">
        <x:v>BLOCKED</x:v>
      </x:c>
    </x:row>
    <x:row r="123">
      <x:c r="A123" s="21" t="str">
        <x:v>HPR-147</x:v>
      </x:c>
      <x:c r="B123" s="21" t="str">
        <x:v>site-02cb039fe1eb-W4-H01</x:v>
      </x:c>
      <x:c r="C123" s="21" t="str">
        <x:v>site-02cb039fe1eb</x:v>
      </x:c>
      <x:c r="D123" s="21" t="str">
        <x:v>خربة عزون</x:v>
      </x:c>
      <x:c r="E123" s="21" t="str">
        <x:v>قلقيلية</x:v>
      </x:c>
      <x:c r="F123" s="21" t="str">
        <x:v>Exact site identity</x:v>
      </x:c>
      <x:c r="G123" s="21" t="n">
        <x:v>55</x:v>
      </x:c>
      <x:c r="H123" s="21" t="str">
        <x:v>P2_MEDIUM</x:v>
      </x:c>
      <x:c r="I123" s="21" t="str">
        <x:v>IDENTITY_LOCATION_BOUNDARY_COORDINATES</x:v>
      </x:c>
      <x:c r="J123" s="21" t="str">
        <x:v>OPEN</x:v>
      </x:c>
      <x:c r="K123" s="27" t="b">
        <x:v>0</x:v>
      </x:c>
      <x:c r="L123" s="27" t="b">
        <x:v>1</x:v>
      </x:c>
      <x:c r="M123" s="21" t="str">
        <x:v>BLOCKED</x:v>
      </x:c>
      <x:c r="N123" s="21" t="str">
        <x:v>BLOCKED</x:v>
      </x:c>
    </x:row>
    <x:row r="124">
      <x:c r="A124" s="21" t="str">
        <x:v>HPR-148</x:v>
      </x:c>
      <x:c r="B124" s="21" t="str">
        <x:v>site-02cb039fe1eb-W4-H02</x:v>
      </x:c>
      <x:c r="C124" s="21" t="str">
        <x:v>site-02cb039fe1eb</x:v>
      </x:c>
      <x:c r="D124" s="21" t="str">
        <x:v>خربة عزون</x:v>
      </x:c>
      <x:c r="E124" s="21" t="str">
        <x:v>قلقيلية</x:v>
      </x:c>
      <x:c r="F124" s="21" t="str">
        <x:v>Boundary</x:v>
      </x:c>
      <x:c r="G124" s="21" t="n">
        <x:v>55</x:v>
      </x:c>
      <x:c r="H124" s="21" t="str">
        <x:v>P2_MEDIUM</x:v>
      </x:c>
      <x:c r="I124" s="21" t="str">
        <x:v>IDENTITY_LOCATION_BOUNDARY_COORDINATES</x:v>
      </x:c>
      <x:c r="J124" s="21" t="str">
        <x:v>OPEN</x:v>
      </x:c>
      <x:c r="K124" s="27" t="b">
        <x:v>0</x:v>
      </x:c>
      <x:c r="L124" s="27" t="b">
        <x:v>1</x:v>
      </x:c>
      <x:c r="M124" s="21" t="str">
        <x:v>BLOCKED</x:v>
      </x:c>
      <x:c r="N124" s="21" t="str">
        <x:v>BLOCKED</x:v>
      </x:c>
    </x:row>
    <x:row r="125">
      <x:c r="A125" s="21" t="str">
        <x:v>HPR-150</x:v>
      </x:c>
      <x:c r="B125" s="21" t="str">
        <x:v>site-3ab4c5b64173-W4-H01</x:v>
      </x:c>
      <x:c r="C125" s="21" t="str">
        <x:v>site-3ab4c5b64173</x:v>
      </x:c>
      <x:c r="D125" s="21" t="str">
        <x:v>خربة قلقيلية القديمة</x:v>
      </x:c>
      <x:c r="E125" s="21" t="str">
        <x:v>قلقيلية</x:v>
      </x:c>
      <x:c r="F125" s="21" t="str">
        <x:v>Identity</x:v>
      </x:c>
      <x:c r="G125" s="21" t="n">
        <x:v>55</x:v>
      </x:c>
      <x:c r="H125" s="21" t="str">
        <x:v>P2_MEDIUM</x:v>
      </x:c>
      <x:c r="I125" s="21" t="str">
        <x:v>IDENTITY_LOCATION_BOUNDARY_COORDINATES</x:v>
      </x:c>
      <x:c r="J125" s="21" t="str">
        <x:v>OPEN</x:v>
      </x:c>
      <x:c r="K125" s="27" t="b">
        <x:v>0</x:v>
      </x:c>
      <x:c r="L125" s="27" t="b">
        <x:v>1</x:v>
      </x:c>
      <x:c r="M125" s="21" t="str">
        <x:v>BLOCKED</x:v>
      </x:c>
      <x:c r="N125" s="21" t="str">
        <x:v>BLOCKED</x:v>
      </x:c>
    </x:row>
    <x:row r="126">
      <x:c r="A126" s="21" t="str">
        <x:v>HPR-151</x:v>
      </x:c>
      <x:c r="B126" s="21" t="str">
        <x:v>site-3ab4c5b64173-W4-H02</x:v>
      </x:c>
      <x:c r="C126" s="21" t="str">
        <x:v>site-3ab4c5b64173</x:v>
      </x:c>
      <x:c r="D126" s="21" t="str">
        <x:v>خربة قلقيلية القديمة</x:v>
      </x:c>
      <x:c r="E126" s="21" t="str">
        <x:v>قلقيلية</x:v>
      </x:c>
      <x:c r="F126" s="21" t="str">
        <x:v>Location</x:v>
      </x:c>
      <x:c r="G126" s="21" t="n">
        <x:v>55</x:v>
      </x:c>
      <x:c r="H126" s="21" t="str">
        <x:v>P2_MEDIUM</x:v>
      </x:c>
      <x:c r="I126" s="21" t="str">
        <x:v>IDENTITY_LOCATION_BOUNDARY_COORDINATES</x:v>
      </x:c>
      <x:c r="J126" s="21" t="str">
        <x:v>OPEN</x:v>
      </x:c>
      <x:c r="K126" s="27" t="b">
        <x:v>0</x:v>
      </x:c>
      <x:c r="L126" s="27" t="b">
        <x:v>1</x:v>
      </x:c>
      <x:c r="M126" s="21" t="str">
        <x:v>BLOCKED</x:v>
      </x:c>
      <x:c r="N126" s="21" t="str">
        <x:v>BLOCKED</x:v>
      </x:c>
    </x:row>
    <x:row r="127">
      <x:c r="A127" s="21" t="str">
        <x:v>HPR-152</x:v>
      </x:c>
      <x:c r="B127" s="21" t="str">
        <x:v>site-3ab4c5b64173-W4-H03</x:v>
      </x:c>
      <x:c r="C127" s="21" t="str">
        <x:v>site-3ab4c5b64173</x:v>
      </x:c>
      <x:c r="D127" s="21" t="str">
        <x:v>خربة قلقيلية القديمة</x:v>
      </x:c>
      <x:c r="E127" s="21" t="str">
        <x:v>قلقيلية</x:v>
      </x:c>
      <x:c r="F127" s="21" t="str">
        <x:v>Site type</x:v>
      </x:c>
      <x:c r="G127" s="21" t="n">
        <x:v>55</x:v>
      </x:c>
      <x:c r="H127" s="21" t="str">
        <x:v>P2_MEDIUM</x:v>
      </x:c>
      <x:c r="I127" s="21" t="str">
        <x:v>IDENTITY_LOCATION_BOUNDARY_COORDINATES</x:v>
      </x:c>
      <x:c r="J127" s="21" t="str">
        <x:v>OPEN</x:v>
      </x:c>
      <x:c r="K127" s="27" t="b">
        <x:v>0</x:v>
      </x:c>
      <x:c r="L127" s="27" t="b">
        <x:v>1</x:v>
      </x:c>
      <x:c r="M127" s="21" t="str">
        <x:v>BLOCKED</x:v>
      </x:c>
      <x:c r="N127" s="21" t="str">
        <x:v>BLOCKED</x:v>
      </x:c>
    </x:row>
    <x:row r="128">
      <x:c r="A128" s="21" t="str">
        <x:v>HPR-157</x:v>
      </x:c>
      <x:c r="B128" s="21" t="str">
        <x:v>site-a33c0a4f64fa-W4-H04</x:v>
      </x:c>
      <x:c r="C128" s="21" t="str">
        <x:v>site-a33c0a4f64fa</x:v>
      </x:c>
      <x:c r="D128" s="21" t="str">
        <x:v>مقام النبي يامين</x:v>
      </x:c>
      <x:c r="E128" s="21" t="str">
        <x:v>قلقيلية</x:v>
      </x:c>
      <x:c r="F128" s="21" t="str">
        <x:v>Coordinates</x:v>
      </x:c>
      <x:c r="G128" s="21" t="n">
        <x:v>55</x:v>
      </x:c>
      <x:c r="H128" s="21" t="str">
        <x:v>P2_MEDIUM</x:v>
      </x:c>
      <x:c r="I128" s="21" t="str">
        <x:v>IDENTITY_LOCATION_BOUNDARY_COORDINATES</x:v>
      </x:c>
      <x:c r="J128" s="21" t="str">
        <x:v>OPEN</x:v>
      </x:c>
      <x:c r="K128" s="27" t="b">
        <x:v>0</x:v>
      </x:c>
      <x:c r="L128" s="27" t="b">
        <x:v>1</x:v>
      </x:c>
      <x:c r="M128" s="21" t="str">
        <x:v>BLOCKED</x:v>
      </x:c>
      <x:c r="N128" s="21" t="str">
        <x:v>BLOCKED</x:v>
      </x:c>
    </x:row>
    <x:row r="129">
      <x:c r="A129" s="21" t="str">
        <x:v>HPR-104</x:v>
      </x:c>
      <x:c r="B129" s="21" t="str">
        <x:v>site-31c7667ff10e-W4-H01</x:v>
      </x:c>
      <x:c r="C129" s="21" t="str">
        <x:v>site-31c7667ff10e</x:v>
      </x:c>
      <x:c r="D129" s="21" t="str">
        <x:v>خان التجار</x:v>
      </x:c>
      <x:c r="E129" s="21" t="str">
        <x:v>نابلس</x:v>
      </x:c>
      <x:c r="F129" s="21" t="str">
        <x:v>Exact construction date</x:v>
      </x:c>
      <x:c r="G129" s="21" t="n">
        <x:v>55</x:v>
      </x:c>
      <x:c r="H129" s="21" t="str">
        <x:v>P2_MEDIUM</x:v>
      </x:c>
      <x:c r="I129" s="21" t="str">
        <x:v>ARCHAEOLOGICAL_CHRONOLOGY</x:v>
      </x:c>
      <x:c r="J129" s="21" t="str">
        <x:v>OPEN</x:v>
      </x:c>
      <x:c r="K129" s="27" t="b">
        <x:v>0</x:v>
      </x:c>
      <x:c r="L129" s="27" t="b">
        <x:v>0</x:v>
      </x:c>
      <x:c r="M129" s="21" t="str">
        <x:v>BLOCKED</x:v>
      </x:c>
      <x:c r="N129" s="21" t="str">
        <x:v>BLOCKED</x:v>
      </x:c>
    </x:row>
    <x:row r="130">
      <x:c r="A130" s="21" t="str">
        <x:v>HPR-105</x:v>
      </x:c>
      <x:c r="B130" s="21" t="str">
        <x:v>site-31c7667ff10e-W4-H02</x:v>
      </x:c>
      <x:c r="C130" s="21" t="str">
        <x:v>site-31c7667ff10e</x:v>
      </x:c>
      <x:c r="D130" s="21" t="str">
        <x:v>خان التجار</x:v>
      </x:c>
      <x:c r="E130" s="21" t="str">
        <x:v>نابلس</x:v>
      </x:c>
      <x:c r="F130" s="21" t="str">
        <x:v>Patronage</x:v>
      </x:c>
      <x:c r="G130" s="21" t="n">
        <x:v>55</x:v>
      </x:c>
      <x:c r="H130" s="21" t="str">
        <x:v>P2_MEDIUM</x:v>
      </x:c>
      <x:c r="I130" s="21" t="str">
        <x:v>ARCHAEOLOGICAL_CHRONOLOGY</x:v>
      </x:c>
      <x:c r="J130" s="21" t="str">
        <x:v>OPEN</x:v>
      </x:c>
      <x:c r="K130" s="27" t="b">
        <x:v>0</x:v>
      </x:c>
      <x:c r="L130" s="27" t="b">
        <x:v>0</x:v>
      </x:c>
      <x:c r="M130" s="21" t="str">
        <x:v>BLOCKED</x:v>
      </x:c>
      <x:c r="N130" s="21" t="str">
        <x:v>BLOCKED</x:v>
      </x:c>
    </x:row>
    <x:row r="131">
      <x:c r="A131" s="21" t="str">
        <x:v>HPR-097</x:v>
      </x:c>
      <x:c r="B131" s="21" t="str">
        <x:v>site-a429c345ac25-W4-H02</x:v>
      </x:c>
      <x:c r="C131" s="21" t="str">
        <x:v>site-a429c345ac25</x:v>
      </x:c>
      <x:c r="D131" s="21" t="str">
        <x:v>جامع النصر</x:v>
      </x:c>
      <x:c r="E131" s="21" t="str">
        <x:v>نابلس</x:v>
      </x:c>
      <x:c r="F131" s="21" t="str">
        <x:v>Ayyubid/Mamluk phase attribution</x:v>
      </x:c>
      <x:c r="G131" s="21" t="n">
        <x:v>55</x:v>
      </x:c>
      <x:c r="H131" s="21" t="str">
        <x:v>P2_MEDIUM</x:v>
      </x:c>
      <x:c r="I131" s="21" t="str">
        <x:v>ARCHAEOLOGICAL_CHRONOLOGY; RELIGIOUS_ATTRIBUTION_CONTESTED</x:v>
      </x:c>
      <x:c r="J131" s="21" t="str">
        <x:v>OPEN</x:v>
      </x:c>
      <x:c r="K131" s="27" t="b">
        <x:v>0</x:v>
      </x:c>
      <x:c r="L131" s="27" t="b">
        <x:v>0</x:v>
      </x:c>
      <x:c r="M131" s="21" t="str">
        <x:v>BLOCKED</x:v>
      </x:c>
      <x:c r="N131" s="21" t="str">
        <x:v>BLOCKED</x:v>
      </x:c>
    </x:row>
    <x:row r="132">
      <x:c r="A132" s="21" t="str">
        <x:v>HPR-093</x:v>
      </x:c>
      <x:c r="B132" s="21" t="str">
        <x:v>site-a9ac192e20c3-W4-H01</x:v>
      </x:c>
      <x:c r="C132" s="21" t="str">
        <x:v>site-a9ac192e20c3</x:v>
      </x:c>
      <x:c r="D132" s="21" t="str">
        <x:v>بلدة نابلس القديمة</x:v>
      </x:c>
      <x:c r="E132" s="21" t="str">
        <x:v>نابلس</x:v>
      </x:c>
      <x:c r="F132" s="21" t="str">
        <x:v>Complete Roman-to-modern urban chronology</x:v>
      </x:c>
      <x:c r="G132" s="21" t="n">
        <x:v>55</x:v>
      </x:c>
      <x:c r="H132" s="21" t="str">
        <x:v>P2_MEDIUM</x:v>
      </x:c>
      <x:c r="I132" s="21" t="str">
        <x:v>ARCHAEOLOGICAL_CHRONOLOGY</x:v>
      </x:c>
      <x:c r="J132" s="21" t="str">
        <x:v>OPEN</x:v>
      </x:c>
      <x:c r="K132" s="27" t="b">
        <x:v>0</x:v>
      </x:c>
      <x:c r="L132" s="27" t="b">
        <x:v>0</x:v>
      </x:c>
      <x:c r="M132" s="21" t="str">
        <x:v>BLOCKED</x:v>
      </x:c>
      <x:c r="N132" s="21" t="str">
        <x:v>BLOCKED</x:v>
      </x:c>
    </x:row>
    <x:row r="133">
      <x:c r="A133" s="21" t="str">
        <x:v>HPR-109</x:v>
      </x:c>
      <x:c r="B133" s="21" t="str">
        <x:v>site-d00341226494-W4-H03</x:v>
      </x:c>
      <x:c r="C133" s="21" t="str">
        <x:v>site-d00341226494</x:v>
      </x:c>
      <x:c r="D133" s="21" t="str">
        <x:v>مقام النبي شعيب</x:v>
      </x:c>
      <x:c r="E133" s="21" t="str">
        <x:v>نابلس</x:v>
      </x:c>
      <x:c r="F133" s="21" t="str">
        <x:v>Periodization</x:v>
      </x:c>
      <x:c r="G133" s="21" t="n">
        <x:v>55</x:v>
      </x:c>
      <x:c r="H133" s="21" t="str">
        <x:v>P2_MEDIUM</x:v>
      </x:c>
      <x:c r="I133" s="21" t="str">
        <x:v>ARCHAEOLOGICAL_CHRONOLOGY</x:v>
      </x:c>
      <x:c r="J133" s="21" t="str">
        <x:v>OPEN</x:v>
      </x:c>
      <x:c r="K133" s="27" t="b">
        <x:v>0</x:v>
      </x:c>
      <x:c r="L133" s="27" t="b">
        <x:v>0</x:v>
      </x:c>
      <x:c r="M133" s="21" t="str">
        <x:v>BLOCKED</x:v>
      </x:c>
      <x:c r="N133" s="21" t="str">
        <x:v>BLOCKED</x:v>
      </x:c>
    </x:row>
    <x:row r="134">
      <x:c r="A134" s="21" t="str">
        <x:v>HPR-203</x:v>
      </x:c>
      <x:c r="B134" s="21" t="str">
        <x:v>site-ce23c41d7641-W5-H02</x:v>
      </x:c>
      <x:c r="C134" s="21" t="str">
        <x:v>site-ce23c41d7641</x:v>
      </x:c>
      <x:c r="D134" s="21" t="str">
        <x:v>قبر النبي موسى</x:v>
      </x:c>
      <x:c r="E134" s="21" t="str">
        <x:v>أريحا</x:v>
      </x:c>
      <x:c r="F134" s="21" t="str">
        <x:v>Burial historicity</x:v>
      </x:c>
      <x:c r="G134" s="21" t="n">
        <x:v>50</x:v>
      </x:c>
      <x:c r="H134" s="21" t="str">
        <x:v>P2_MEDIUM</x:v>
      </x:c>
      <x:c r="I134" s="21" t="str">
        <x:v>RELIGIOUS_ATTRIBUTION_CONTESTED</x:v>
      </x:c>
      <x:c r="J134" s="21" t="str">
        <x:v>OPEN</x:v>
      </x:c>
      <x:c r="K134" s="27" t="b">
        <x:v>0</x:v>
      </x:c>
      <x:c r="L134" s="27" t="b">
        <x:v>0</x:v>
      </x:c>
      <x:c r="M134" s="21" t="str">
        <x:v>BLOCKED</x:v>
      </x:c>
      <x:c r="N134" s="21" t="str">
        <x:v>BLOCKED</x:v>
      </x:c>
    </x:row>
    <x:row r="135">
      <x:c r="A135" s="21" t="str">
        <x:v>HPR-023</x:v>
      </x:c>
      <x:c r="B135" s="21" t="str">
        <x:v>site-f60be7cd7d5e-W2-H02</x:v>
      </x:c>
      <x:c r="C135" s="21" t="str">
        <x:v>site-f60be7cd7d5e</x:v>
      </x:c>
      <x:c r="D135" s="21" t="str">
        <x:v>بيت أمر</x:v>
      </x:c>
      <x:c r="E135" s="21" t="str">
        <x:v>الخليل</x:v>
      </x:c>
      <x:c r="F135" s="21" t="str">
        <x:v>Prophet/saint attribution</x:v>
      </x:c>
      <x:c r="G135" s="21" t="n">
        <x:v>50</x:v>
      </x:c>
      <x:c r="H135" s="21" t="str">
        <x:v>P2_MEDIUM</x:v>
      </x:c>
      <x:c r="I135" s="21" t="str">
        <x:v>RELIGIOUS_ATTRIBUTION_CONTESTED</x:v>
      </x:c>
      <x:c r="J135" s="21" t="str">
        <x:v>OPEN</x:v>
      </x:c>
      <x:c r="K135" s="27" t="b">
        <x:v>0</x:v>
      </x:c>
      <x:c r="L135" s="27" t="b">
        <x:v>0</x:v>
      </x:c>
      <x:c r="M135" s="21" t="str">
        <x:v>BLOCKED</x:v>
      </x:c>
      <x:c r="N135" s="21" t="str">
        <x:v>BLOCKED</x:v>
      </x:c>
    </x:row>
    <x:row r="136">
      <x:c r="A136" s="21" t="str">
        <x:v>HPR-077</x:v>
      </x:c>
      <x:c r="B136" s="21" t="str">
        <x:v>site-015f495c4236-W3-H01</x:v>
      </x:c>
      <x:c r="C136" s="21" t="str">
        <x:v>site-015f495c4236</x:v>
      </x:c>
      <x:c r="D136" s="21" t="str">
        <x:v>مدينة غزة القديمة</x:v>
      </x:c>
      <x:c r="E136" s="21" t="str">
        <x:v>غزة</x:v>
      </x:c>
      <x:c r="F136" s="21" t="str">
        <x:v>Component-level completeness</x:v>
      </x:c>
      <x:c r="G136" s="21" t="n">
        <x:v>50</x:v>
      </x:c>
      <x:c r="H136" s="21" t="str">
        <x:v>P2_MEDIUM</x:v>
      </x:c>
      <x:c r="I136" s="21" t="str">
        <x:v>OTHER_SPECIALIST</x:v>
      </x:c>
      <x:c r="J136" s="21" t="str">
        <x:v>OPEN</x:v>
      </x:c>
      <x:c r="K136" s="27" t="b">
        <x:v>0</x:v>
      </x:c>
      <x:c r="L136" s="27" t="b">
        <x:v>0</x:v>
      </x:c>
      <x:c r="M136" s="21" t="str">
        <x:v>BLOCKED</x:v>
      </x:c>
      <x:c r="N136" s="21" t="str">
        <x:v>BLOCKED</x:v>
      </x:c>
    </x:row>
    <x:row r="137">
      <x:c r="A137" s="21" t="str">
        <x:v>HPR-079</x:v>
      </x:c>
      <x:c r="B137" s="21" t="str">
        <x:v>site-015f495c4236-W3-H03</x:v>
      </x:c>
      <x:c r="C137" s="21" t="str">
        <x:v>site-015f495c4236</x:v>
      </x:c>
      <x:c r="D137" s="21" t="str">
        <x:v>مدينة غزة القديمة</x:v>
      </x:c>
      <x:c r="E137" s="21" t="str">
        <x:v>غزة</x:v>
      </x:c>
      <x:c r="F137" s="21" t="str">
        <x:v>Publication-ready five-millennia continuity narrative</x:v>
      </x:c>
      <x:c r="G137" s="21" t="n">
        <x:v>50</x:v>
      </x:c>
      <x:c r="H137" s="21" t="str">
        <x:v>P2_MEDIUM</x:v>
      </x:c>
      <x:c r="I137" s="21" t="str">
        <x:v>OTHER_SPECIALIST</x:v>
      </x:c>
      <x:c r="J137" s="21" t="str">
        <x:v>OPEN</x:v>
      </x:c>
      <x:c r="K137" s="27" t="b">
        <x:v>0</x:v>
      </x:c>
      <x:c r="L137" s="27" t="b">
        <x:v>0</x:v>
      </x:c>
      <x:c r="M137" s="21" t="str">
        <x:v>BLOCKED</x:v>
      </x:c>
      <x:c r="N137" s="21" t="str">
        <x:v>BLOCKED</x:v>
      </x:c>
    </x:row>
    <x:row r="138">
      <x:c r="A138" s="21" t="str">
        <x:v>HPR-065</x:v>
      </x:c>
      <x:c r="B138" s="21" t="str">
        <x:v>site-21150eefdea6-W3-H01</x:v>
      </x:c>
      <x:c r="C138" s="21" t="str">
        <x:v>site-21150eefdea6</x:v>
      </x:c>
      <x:c r="D138" s="21" t="str">
        <x:v>تل العجول</x:v>
      </x:c>
      <x:c r="E138" s="21" t="str">
        <x:v>غزة</x:v>
      </x:c>
      <x:c r="F138" s="21" t="str">
        <x:v>Exact urban identification with ancient Gaza</x:v>
      </x:c>
      <x:c r="G138" s="21" t="n">
        <x:v>50</x:v>
      </x:c>
      <x:c r="H138" s="21" t="str">
        <x:v>P2_MEDIUM</x:v>
      </x:c>
      <x:c r="I138" s="21" t="str">
        <x:v>OTHER_SPECIALIST</x:v>
      </x:c>
      <x:c r="J138" s="21" t="str">
        <x:v>OPEN</x:v>
      </x:c>
      <x:c r="K138" s="27" t="b">
        <x:v>0</x:v>
      </x:c>
      <x:c r="L138" s="27" t="b">
        <x:v>0</x:v>
      </x:c>
      <x:c r="M138" s="21" t="str">
        <x:v>BLOCKED</x:v>
      </x:c>
      <x:c r="N138" s="21" t="str">
        <x:v>BLOCKED</x:v>
      </x:c>
    </x:row>
    <x:row r="139">
      <x:c r="A139" s="21" t="str">
        <x:v>HPR-081</x:v>
      </x:c>
      <x:c r="B139" s="21" t="str">
        <x:v>site-a77381cd3cae-W3-H02</x:v>
      </x:c>
      <x:c r="C139" s="21" t="str">
        <x:v>site-a77381cd3cae</x:v>
      </x:c>
      <x:c r="D139" s="21" t="str">
        <x:v>مقام الشيخ رضوان</x:v>
      </x:c>
      <x:c r="E139" s="21" t="str">
        <x:v>غزة</x:v>
      </x:c>
      <x:c r="F139" s="21" t="str">
        <x:v>Religious attribution</x:v>
      </x:c>
      <x:c r="G139" s="21" t="n">
        <x:v>50</x:v>
      </x:c>
      <x:c r="H139" s="21" t="str">
        <x:v>P2_MEDIUM</x:v>
      </x:c>
      <x:c r="I139" s="21" t="str">
        <x:v>RELIGIOUS_ATTRIBUTION_CONTESTED</x:v>
      </x:c>
      <x:c r="J139" s="21" t="str">
        <x:v>OPEN</x:v>
      </x:c>
      <x:c r="K139" s="27" t="b">
        <x:v>0</x:v>
      </x:c>
      <x:c r="L139" s="27" t="b">
        <x:v>0</x:v>
      </x:c>
      <x:c r="M139" s="21" t="str">
        <x:v>BLOCKED</x:v>
      </x:c>
      <x:c r="N139" s="21" t="str">
        <x:v>BLOCKED</x:v>
      </x:c>
    </x:row>
    <x:row r="140">
      <x:c r="A140" s="21" t="str">
        <x:v>HPR-047</x:v>
      </x:c>
      <x:c r="B140" s="21" t="str">
        <x:v>site-37c8be50ce73-W2-H02</x:v>
      </x:c>
      <x:c r="C140" s="21" t="str">
        <x:v>site-37c8be50ce73</x:v>
      </x:c>
      <x:c r="D140" s="21" t="str">
        <x:v>برك سليمان</x:v>
      </x:c>
      <x:c r="E140" s="21" t="str">
        <x:v>بيت لحم</x:v>
      </x:c>
      <x:c r="F140" s="21" t="str">
        <x:v>Water supply route to Jerusalem</x:v>
      </x:c>
      <x:c r="G140" s="21" t="n">
        <x:v>45</x:v>
      </x:c>
      <x:c r="H140" s="21" t="str">
        <x:v>P2_MEDIUM</x:v>
      </x:c>
      <x:c r="I140" s="21" t="str">
        <x:v>INVENTORY_CONSTITUENTS</x:v>
      </x:c>
      <x:c r="J140" s="21" t="str">
        <x:v>OPEN</x:v>
      </x:c>
      <x:c r="K140" s="27" t="b">
        <x:v>0</x:v>
      </x:c>
      <x:c r="L140" s="27" t="b">
        <x:v>0</x:v>
      </x:c>
      <x:c r="M140" s="21" t="str">
        <x:v>BLOCKED</x:v>
      </x:c>
      <x:c r="N140" s="21" t="str">
        <x:v>BLOCKED</x:v>
      </x:c>
    </x:row>
    <x:row r="141">
      <x:c r="A141" s="21" t="str">
        <x:v>HPR-132</x:v>
      </x:c>
      <x:c r="B141" s="21" t="str">
        <x:v>site-a28891855f38-W4-H03</x:v>
      </x:c>
      <x:c r="C141" s="21" t="str">
        <x:v>site-a28891855f38</x:v>
      </x:c>
      <x:c r="D141" s="21" t="str">
        <x:v>بلدة دير الغصون</x:v>
      </x:c>
      <x:c r="E141" s="21" t="str">
        <x:v>طولكرم</x:v>
      </x:c>
      <x:c r="F141" s="21" t="str">
        <x:v>Constituent buildings</x:v>
      </x:c>
      <x:c r="G141" s="21" t="n">
        <x:v>45</x:v>
      </x:c>
      <x:c r="H141" s="21" t="str">
        <x:v>P2_MEDIUM</x:v>
      </x:c>
      <x:c r="I141" s="21" t="str">
        <x:v>INVENTORY_CONSTITUENTS</x:v>
      </x:c>
      <x:c r="J141" s="21" t="str">
        <x:v>OPEN</x:v>
      </x:c>
      <x:c r="K141" s="27" t="b">
        <x:v>0</x:v>
      </x:c>
      <x:c r="L141" s="27" t="b">
        <x:v>0</x:v>
      </x:c>
      <x:c r="M141" s="21" t="str">
        <x:v>BLOCKED</x:v>
      </x:c>
      <x:c r="N141" s="21" t="str">
        <x:v>BLOCKED</x:v>
      </x:c>
    </x:row>
    <x:row r="142">
      <x:c r="A142" s="21" t="str">
        <x:v>HPR-206</x:v>
      </x:c>
      <x:c r="B142" s="21" t="str">
        <x:v>site-7551f628d089-W5-H02</x:v>
      </x:c>
      <x:c r="C142" s="21" t="str">
        <x:v>site-7551f628d089</x:v>
      </x:c>
      <x:c r="D142" s="21" t="str">
        <x:v>قناة وادي القلط</x:v>
      </x:c>
      <x:c r="E142" s="21" t="str">
        <x:v>أريحا</x:v>
      </x:c>
      <x:c r="F142" s="21" t="str">
        <x:v>Roman construction date</x:v>
      </x:c>
      <x:c r="G142" s="21" t="n">
        <x:v>40</x:v>
      </x:c>
      <x:c r="H142" s="21" t="str">
        <x:v>P3_LONG_TAIL</x:v>
      </x:c>
      <x:c r="I142" s="21" t="str">
        <x:v>ARCHAEOLOGICAL_CHRONOLOGY</x:v>
      </x:c>
      <x:c r="J142" s="21" t="str">
        <x:v>OPEN</x:v>
      </x:c>
      <x:c r="K142" s="27" t="b">
        <x:v>0</x:v>
      </x:c>
      <x:c r="L142" s="27" t="b">
        <x:v>0</x:v>
      </x:c>
      <x:c r="M142" s="21" t="str">
        <x:v>BLOCKED</x:v>
      </x:c>
      <x:c r="N142" s="21" t="str">
        <x:v>BLOCKED</x:v>
      </x:c>
    </x:row>
    <x:row r="143">
      <x:c r="A143" s="21" t="str">
        <x:v>HPR-209</x:v>
      </x:c>
      <x:c r="B143" s="21" t="str">
        <x:v>site-c4d8c9fdd1f0-W5-H01</x:v>
      </x:c>
      <x:c r="C143" s="21" t="str">
        <x:v>site-c4d8c9fdd1f0</x:v>
      </x:c>
      <x:c r="D143" s="21" t="str">
        <x:v>مقام النبي موسى</x:v>
      </x:c>
      <x:c r="E143" s="21" t="str">
        <x:v>أريحا</x:v>
      </x:c>
      <x:c r="F143" s="21" t="str">
        <x:v>Complete Mamluk/Ottoman construction sequence</x:v>
      </x:c>
      <x:c r="G143" s="21" t="n">
        <x:v>40</x:v>
      </x:c>
      <x:c r="H143" s="21" t="str">
        <x:v>P3_LONG_TAIL</x:v>
      </x:c>
      <x:c r="I143" s="21" t="str">
        <x:v>ARCHAEOLOGICAL_CHRONOLOGY</x:v>
      </x:c>
      <x:c r="J143" s="21" t="str">
        <x:v>OPEN</x:v>
      </x:c>
      <x:c r="K143" s="27" t="b">
        <x:v>0</x:v>
      </x:c>
      <x:c r="L143" s="27" t="b">
        <x:v>0</x:v>
      </x:c>
      <x:c r="M143" s="21" t="str">
        <x:v>BLOCKED</x:v>
      </x:c>
      <x:c r="N143" s="21" t="str">
        <x:v>BLOCKED</x:v>
      </x:c>
    </x:row>
    <x:row r="144">
      <x:c r="A144" s="21" t="str">
        <x:v>HPR-196</x:v>
      </x:c>
      <x:c r="B144" s="21" t="str">
        <x:v>site-cc4465115964-W5-H01</x:v>
      </x:c>
      <x:c r="C144" s="21" t="str">
        <x:v>site-cc4465115964</x:v>
      </x:c>
      <x:c r="D144" s="21" t="str">
        <x:v>دير قرنطل</x:v>
      </x:c>
      <x:c r="E144" s="21" t="str">
        <x:v>أريحا</x:v>
      </x:c>
      <x:c r="F144" s="21" t="str">
        <x:v>Crusader construction phase</x:v>
      </x:c>
      <x:c r="G144" s="21" t="n">
        <x:v>40</x:v>
      </x:c>
      <x:c r="H144" s="21" t="str">
        <x:v>P3_LONG_TAIL</x:v>
      </x:c>
      <x:c r="I144" s="21" t="str">
        <x:v>ARCHAEOLOGICAL_CHRONOLOGY</x:v>
      </x:c>
      <x:c r="J144" s="21" t="str">
        <x:v>OPEN</x:v>
      </x:c>
      <x:c r="K144" s="27" t="b">
        <x:v>0</x:v>
      </x:c>
      <x:c r="L144" s="27" t="b">
        <x:v>0</x:v>
      </x:c>
      <x:c r="M144" s="21" t="str">
        <x:v>BLOCKED</x:v>
      </x:c>
      <x:c r="N144" s="21" t="str">
        <x:v>BLOCKED</x:v>
      </x:c>
    </x:row>
    <x:row r="145">
      <x:c r="A145" s="21" t="str">
        <x:v>HPR-197</x:v>
      </x:c>
      <x:c r="B145" s="21" t="str">
        <x:v>site-cc4465115964-W5-H02</x:v>
      </x:c>
      <x:c r="C145" s="21" t="str">
        <x:v>site-cc4465115964</x:v>
      </x:c>
      <x:c r="D145" s="21" t="str">
        <x:v>دير قرنطل</x:v>
      </x:c>
      <x:c r="E145" s="21" t="str">
        <x:v>أريحا</x:v>
      </x:c>
      <x:c r="F145" s="21" t="str">
        <x:v>Complete cave and monastery chronology</x:v>
      </x:c>
      <x:c r="G145" s="21" t="n">
        <x:v>40</x:v>
      </x:c>
      <x:c r="H145" s="21" t="str">
        <x:v>P3_LONG_TAIL</x:v>
      </x:c>
      <x:c r="I145" s="21" t="str">
        <x:v>ARCHAEOLOGICAL_CHRONOLOGY</x:v>
      </x:c>
      <x:c r="J145" s="21" t="str">
        <x:v>OPEN</x:v>
      </x:c>
      <x:c r="K145" s="27" t="b">
        <x:v>0</x:v>
      </x:c>
      <x:c r="L145" s="27" t="b">
        <x:v>0</x:v>
      </x:c>
      <x:c r="M145" s="21" t="str">
        <x:v>BLOCKED</x:v>
      </x:c>
      <x:c r="N145" s="21" t="str">
        <x:v>BLOCKED</x:v>
      </x:c>
    </x:row>
    <x:row r="146">
      <x:c r="A146" s="21" t="str">
        <x:v>HPR-035</x:v>
      </x:c>
      <x:c r="B146" s="21" t="str">
        <x:v>site-6162b1da6edc-W2-H01</x:v>
      </x:c>
      <x:c r="C146" s="21" t="str">
        <x:v>site-6162b1da6edc</x:v>
      </x:c>
      <x:c r="D146" s="21" t="str">
        <x:v>عين سارة</x:v>
      </x:c>
      <x:c r="E146" s="21" t="str">
        <x:v>الخليل</x:v>
      </x:c>
      <x:c r="F146" s="21" t="str">
        <x:v>Periodization</x:v>
      </x:c>
      <x:c r="G146" s="21" t="n">
        <x:v>40</x:v>
      </x:c>
      <x:c r="H146" s="21" t="str">
        <x:v>P3_LONG_TAIL</x:v>
      </x:c>
      <x:c r="I146" s="21" t="str">
        <x:v>ARCHAEOLOGICAL_CHRONOLOGY</x:v>
      </x:c>
      <x:c r="J146" s="21" t="str">
        <x:v>OPEN</x:v>
      </x:c>
      <x:c r="K146" s="27" t="b">
        <x:v>0</x:v>
      </x:c>
      <x:c r="L146" s="27" t="b">
        <x:v>0</x:v>
      </x:c>
      <x:c r="M146" s="21" t="str">
        <x:v>BLOCKED</x:v>
      </x:c>
      <x:c r="N146" s="21" t="str">
        <x:v>BLOCKED</x:v>
      </x:c>
    </x:row>
    <x:row r="147">
      <x:c r="A147" s="21" t="str">
        <x:v>HPR-025</x:v>
      </x:c>
      <x:c r="B147" s="21" t="str">
        <x:v>site-63c0ba59c24e-W2-H01</x:v>
      </x:c>
      <x:c r="C147" s="21" t="str">
        <x:v>site-63c0ba59c24e</x:v>
      </x:c>
      <x:c r="D147" s="21" t="str">
        <x:v>تل الرميدة</x:v>
      </x:c>
      <x:c r="E147" s="21" t="str">
        <x:v>الخليل</x:v>
      </x:c>
      <x:c r="F147" s="21" t="str">
        <x:v>Complete stratigraphy</x:v>
      </x:c>
      <x:c r="G147" s="21" t="n">
        <x:v>40</x:v>
      </x:c>
      <x:c r="H147" s="21" t="str">
        <x:v>P3_LONG_TAIL</x:v>
      </x:c>
      <x:c r="I147" s="21" t="str">
        <x:v>ARCHAEOLOGICAL_CHRONOLOGY</x:v>
      </x:c>
      <x:c r="J147" s="21" t="str">
        <x:v>OPEN</x:v>
      </x:c>
      <x:c r="K147" s="27" t="b">
        <x:v>0</x:v>
      </x:c>
      <x:c r="L147" s="27" t="b">
        <x:v>0</x:v>
      </x:c>
      <x:c r="M147" s="21" t="str">
        <x:v>BLOCKED</x:v>
      </x:c>
      <x:c r="N147" s="21" t="str">
        <x:v>BLOCKED</x:v>
      </x:c>
    </x:row>
    <x:row r="148">
      <x:c r="A148" s="21" t="str">
        <x:v>HPR-043</x:v>
      </x:c>
      <x:c r="B148" s="21" t="str">
        <x:v>site-7532d020842e-W2-H01</x:v>
      </x:c>
      <x:c r="C148" s="21" t="str">
        <x:v>site-7532d020842e</x:v>
      </x:c>
      <x:c r="D148" s="21" t="str">
        <x:v>مقام الشيخ علي البكاء</x:v>
      </x:c>
      <x:c r="E148" s="21" t="str">
        <x:v>الخليل</x:v>
      </x:c>
      <x:c r="F148" s="21" t="str">
        <x:v>Mamluk dating</x:v>
      </x:c>
      <x:c r="G148" s="21" t="n">
        <x:v>40</x:v>
      </x:c>
      <x:c r="H148" s="21" t="str">
        <x:v>P3_LONG_TAIL</x:v>
      </x:c>
      <x:c r="I148" s="21" t="str">
        <x:v>ARCHAEOLOGICAL_CHRONOLOGY</x:v>
      </x:c>
      <x:c r="J148" s="21" t="str">
        <x:v>OPEN</x:v>
      </x:c>
      <x:c r="K148" s="27" t="b">
        <x:v>0</x:v>
      </x:c>
      <x:c r="L148" s="27" t="b">
        <x:v>0</x:v>
      </x:c>
      <x:c r="M148" s="21" t="str">
        <x:v>BLOCKED</x:v>
      </x:c>
      <x:c r="N148" s="21" t="str">
        <x:v>BLOCKED</x:v>
      </x:c>
    </x:row>
    <x:row r="149">
      <x:c r="A149" s="21" t="str">
        <x:v>HPR-032</x:v>
      </x:c>
      <x:c r="B149" s="21" t="str">
        <x:v>site-c9ac723c0271-W2-H01</x:v>
      </x:c>
      <x:c r="C149" s="21" t="str">
        <x:v>site-c9ac723c0271</x:v>
      </x:c>
      <x:c r="D149" s="21" t="str">
        <x:v>خربة النبي نوح</x:v>
      </x:c>
      <x:c r="E149" s="21" t="str">
        <x:v>الخليل</x:v>
      </x:c>
      <x:c r="F149" s="21" t="str">
        <x:v>Construction chronology</x:v>
      </x:c>
      <x:c r="G149" s="21" t="n">
        <x:v>40</x:v>
      </x:c>
      <x:c r="H149" s="21" t="str">
        <x:v>P3_LONG_TAIL</x:v>
      </x:c>
      <x:c r="I149" s="21" t="str">
        <x:v>ARCHAEOLOGICAL_CHRONOLOGY</x:v>
      </x:c>
      <x:c r="J149" s="21" t="str">
        <x:v>OPEN</x:v>
      </x:c>
      <x:c r="K149" s="27" t="b">
        <x:v>0</x:v>
      </x:c>
      <x:c r="L149" s="27" t="b">
        <x:v>0</x:v>
      </x:c>
      <x:c r="M149" s="21" t="str">
        <x:v>BLOCKED</x:v>
      </x:c>
      <x:c r="N149" s="21" t="str">
        <x:v>BLOCKED</x:v>
      </x:c>
    </x:row>
    <x:row r="150">
      <x:c r="A150" s="21" t="str">
        <x:v>HPR-033</x:v>
      </x:c>
      <x:c r="B150" s="21" t="str">
        <x:v>site-c9ac723c0271-W2-H02</x:v>
      </x:c>
      <x:c r="C150" s="21" t="str">
        <x:v>site-c9ac723c0271</x:v>
      </x:c>
      <x:c r="D150" s="21" t="str">
        <x:v>خربة النبي نوح</x:v>
      </x:c>
      <x:c r="E150" s="21" t="str">
        <x:v>الخليل</x:v>
      </x:c>
      <x:c r="F150" s="21" t="str">
        <x:v>Archaeological phases</x:v>
      </x:c>
      <x:c r="G150" s="21" t="n">
        <x:v>40</x:v>
      </x:c>
      <x:c r="H150" s="21" t="str">
        <x:v>P3_LONG_TAIL</x:v>
      </x:c>
      <x:c r="I150" s="21" t="str">
        <x:v>ARCHAEOLOGICAL_CHRONOLOGY</x:v>
      </x:c>
      <x:c r="J150" s="21" t="str">
        <x:v>OPEN</x:v>
      </x:c>
      <x:c r="K150" s="27" t="b">
        <x:v>0</x:v>
      </x:c>
      <x:c r="L150" s="27" t="b">
        <x:v>0</x:v>
      </x:c>
      <x:c r="M150" s="21" t="str">
        <x:v>BLOCKED</x:v>
      </x:c>
      <x:c r="N150" s="21" t="str">
        <x:v>BLOCKED</x:v>
      </x:c>
    </x:row>
    <x:row r="151">
      <x:c r="A151" s="21" t="str">
        <x:v>HPR-028</x:v>
      </x:c>
      <x:c r="B151" s="21" t="str">
        <x:v>site-cd3be04163b6-W2-H02</x:v>
      </x:c>
      <x:c r="C151" s="21" t="str">
        <x:v>site-cd3be04163b6</x:v>
      </x:c>
      <x:c r="D151" s="21" t="str">
        <x:v>حلحول (مقام النبي يونس)</x:v>
      </x:c>
      <x:c r="E151" s="21" t="str">
        <x:v>الخليل</x:v>
      </x:c>
      <x:c r="F151" s="21" t="str">
        <x:v>Complete restoration history</x:v>
      </x:c>
      <x:c r="G151" s="21" t="n">
        <x:v>40</x:v>
      </x:c>
      <x:c r="H151" s="21" t="str">
        <x:v>P3_LONG_TAIL</x:v>
      </x:c>
      <x:c r="I151" s="21" t="str">
        <x:v>ARCHAEOLOGICAL_CHRONOLOGY</x:v>
      </x:c>
      <x:c r="J151" s="21" t="str">
        <x:v>OPEN</x:v>
      </x:c>
      <x:c r="K151" s="27" t="b">
        <x:v>0</x:v>
      </x:c>
      <x:c r="L151" s="27" t="b">
        <x:v>0</x:v>
      </x:c>
      <x:c r="M151" s="21" t="str">
        <x:v>BLOCKED</x:v>
      </x:c>
      <x:c r="N151" s="21" t="str">
        <x:v>BLOCKED</x:v>
      </x:c>
    </x:row>
    <x:row r="152">
      <x:c r="A152" s="21" t="str">
        <x:v>HPR-020</x:v>
      </x:c>
      <x:c r="B152" s="21" t="str">
        <x:v>site-3a3d3669f0ba-W2-H02</x:v>
      </x:c>
      <x:c r="C152" s="21" t="str">
        <x:v>site-3a3d3669f0ba</x:v>
      </x:c>
      <x:c r="D152" s="21" t="str">
        <x:v>مقام النبي داوود (جبل صهيون)</x:v>
      </x:c>
      <x:c r="E152" s="21" t="str">
        <x:v>القدس</x:v>
      </x:c>
      <x:c r="F152" s="21" t="str">
        <x:v>Building chronology</x:v>
      </x:c>
      <x:c r="G152" s="21" t="n">
        <x:v>40</x:v>
      </x:c>
      <x:c r="H152" s="21" t="str">
        <x:v>P3_LONG_TAIL</x:v>
      </x:c>
      <x:c r="I152" s="21" t="str">
        <x:v>ARCHAEOLOGICAL_CHRONOLOGY</x:v>
      </x:c>
      <x:c r="J152" s="21" t="str">
        <x:v>OPEN</x:v>
      </x:c>
      <x:c r="K152" s="27" t="b">
        <x:v>0</x:v>
      </x:c>
      <x:c r="L152" s="27" t="b">
        <x:v>0</x:v>
      </x:c>
      <x:c r="M152" s="21" t="str">
        <x:v>BLOCKED</x:v>
      </x:c>
      <x:c r="N152" s="21" t="str">
        <x:v>BLOCKED</x:v>
      </x:c>
    </x:row>
    <x:row r="153">
      <x:c r="A153" s="21" t="str">
        <x:v>HPR-017</x:v>
      </x:c>
      <x:c r="B153" s="21" t="str">
        <x:v>site-431ed266867b-W2-H01</x:v>
      </x:c>
      <x:c r="C153" s="21" t="str">
        <x:v>site-431ed266867b</x:v>
      </x:c>
      <x:c r="D153" s="21" t="str">
        <x:v>كنيسة القيامة</x:v>
      </x:c>
      <x:c r="E153" s="21" t="str">
        <x:v>القدس</x:v>
      </x:c>
      <x:c r="F153" s="21" t="str">
        <x:v>Full Constantinian/Byzantine/Crusader chronology</x:v>
      </x:c>
      <x:c r="G153" s="21" t="n">
        <x:v>40</x:v>
      </x:c>
      <x:c r="H153" s="21" t="str">
        <x:v>P3_LONG_TAIL</x:v>
      </x:c>
      <x:c r="I153" s="21" t="str">
        <x:v>ARCHAEOLOGICAL_CHRONOLOGY</x:v>
      </x:c>
      <x:c r="J153" s="21" t="str">
        <x:v>OPEN</x:v>
      </x:c>
      <x:c r="K153" s="27" t="b">
        <x:v>0</x:v>
      </x:c>
      <x:c r="L153" s="27" t="b">
        <x:v>0</x:v>
      </x:c>
      <x:c r="M153" s="21" t="str">
        <x:v>BLOCKED</x:v>
      </x:c>
      <x:c r="N153" s="21" t="str">
        <x:v>BLOCKED</x:v>
      </x:c>
    </x:row>
    <x:row r="154">
      <x:c r="A154" s="21" t="str">
        <x:v>HPR-011</x:v>
      </x:c>
      <x:c r="B154" s="21" t="str">
        <x:v>site-4bbdf07d8d66-W2-H01</x:v>
      </x:c>
      <x:c r="C154" s="21" t="str">
        <x:v>site-4bbdf07d8d66</x:v>
      </x:c>
      <x:c r="D154" s="21" t="str">
        <x:v>سوق القطانين</x:v>
      </x:c>
      <x:c r="E154" s="21" t="str">
        <x:v>القدس</x:v>
      </x:c>
      <x:c r="F154" s="21" t="str">
        <x:v>Exact patron and construction date pending direct bibliography inspection</x:v>
      </x:c>
      <x:c r="G154" s="21" t="n">
        <x:v>40</x:v>
      </x:c>
      <x:c r="H154" s="21" t="str">
        <x:v>P3_LONG_TAIL</x:v>
      </x:c>
      <x:c r="I154" s="21" t="str">
        <x:v>ARCHAEOLOGICAL_CHRONOLOGY</x:v>
      </x:c>
      <x:c r="J154" s="21" t="str">
        <x:v>OPEN</x:v>
      </x:c>
      <x:c r="K154" s="27" t="b">
        <x:v>0</x:v>
      </x:c>
      <x:c r="L154" s="27" t="b">
        <x:v>0</x:v>
      </x:c>
      <x:c r="M154" s="21" t="str">
        <x:v>BLOCKED</x:v>
      </x:c>
      <x:c r="N154" s="21" t="str">
        <x:v>BLOCKED</x:v>
      </x:c>
    </x:row>
    <x:row r="155">
      <x:c r="A155" s="21" t="str">
        <x:v>HPR-012</x:v>
      </x:c>
      <x:c r="B155" s="21" t="str">
        <x:v>site-8d297f3c37a9-W2-H01</x:v>
      </x:c>
      <x:c r="C155" s="21" t="str">
        <x:v>site-8d297f3c37a9</x:v>
      </x:c>
      <x:c r="D155" s="21" t="str">
        <x:v>قبر السيدة مريم (مغارة الجسمانية)</x:v>
      </x:c>
      <x:c r="E155" s="21" t="str">
        <x:v>القدس</x:v>
      </x:c>
      <x:c r="F155" s="21" t="str">
        <x:v>Exact building chronology</x:v>
      </x:c>
      <x:c r="G155" s="21" t="n">
        <x:v>40</x:v>
      </x:c>
      <x:c r="H155" s="21" t="str">
        <x:v>P3_LONG_TAIL</x:v>
      </x:c>
      <x:c r="I155" s="21" t="str">
        <x:v>ARCHAEOLOGICAL_CHRONOLOGY</x:v>
      </x:c>
      <x:c r="J155" s="21" t="str">
        <x:v>OPEN</x:v>
      </x:c>
      <x:c r="K155" s="27" t="b">
        <x:v>0</x:v>
      </x:c>
      <x:c r="L155" s="27" t="b">
        <x:v>0</x:v>
      </x:c>
      <x:c r="M155" s="21" t="str">
        <x:v>BLOCKED</x:v>
      </x:c>
      <x:c r="N155" s="21" t="str">
        <x:v>BLOCKED</x:v>
      </x:c>
    </x:row>
    <x:row r="156">
      <x:c r="A156" s="21" t="str">
        <x:v>HPR-008</x:v>
      </x:c>
      <x:c r="B156" s="21" t="str">
        <x:v>site-9b42bff63df0-W2-H01</x:v>
      </x:c>
      <x:c r="C156" s="21" t="str">
        <x:v>site-9b42bff63df0</x:v>
      </x:c>
      <x:c r="D156" s="21" t="str">
        <x:v>خان الجوابرة</x:v>
      </x:c>
      <x:c r="E156" s="21" t="str">
        <x:v>القدس</x:v>
      </x:c>
      <x:c r="F156" s="21" t="str">
        <x:v>Ottoman dating</x:v>
      </x:c>
      <x:c r="G156" s="21" t="n">
        <x:v>40</x:v>
      </x:c>
      <x:c r="H156" s="21" t="str">
        <x:v>P3_LONG_TAIL</x:v>
      </x:c>
      <x:c r="I156" s="21" t="str">
        <x:v>ARCHAEOLOGICAL_CHRONOLOGY</x:v>
      </x:c>
      <x:c r="J156" s="21" t="str">
        <x:v>OPEN</x:v>
      </x:c>
      <x:c r="K156" s="27" t="b">
        <x:v>0</x:v>
      </x:c>
      <x:c r="L156" s="27" t="b">
        <x:v>0</x:v>
      </x:c>
      <x:c r="M156" s="21" t="str">
        <x:v>BLOCKED</x:v>
      </x:c>
      <x:c r="N156" s="21" t="str">
        <x:v>BLOCKED</x:v>
      </x:c>
    </x:row>
    <x:row r="157">
      <x:c r="A157" s="21" t="str">
        <x:v>HPR-005</x:v>
      </x:c>
      <x:c r="B157" s="21" t="str">
        <x:v>site-f9067873c322-W2-H01</x:v>
      </x:c>
      <x:c r="C157" s="21" t="str">
        <x:v>site-f9067873c322</x:v>
      </x:c>
      <x:c r="D157" s="21" t="str">
        <x:v>حائط البراق</x:v>
      </x:c>
      <x:c r="E157" s="21" t="str">
        <x:v>القدس</x:v>
      </x:c>
      <x:c r="F157" s="21" t="str">
        <x:v>Exact construction phase</x:v>
      </x:c>
      <x:c r="G157" s="21" t="n">
        <x:v>40</x:v>
      </x:c>
      <x:c r="H157" s="21" t="str">
        <x:v>P3_LONG_TAIL</x:v>
      </x:c>
      <x:c r="I157" s="21" t="str">
        <x:v>ARCHAEOLOGICAL_CHRONOLOGY</x:v>
      </x:c>
      <x:c r="J157" s="21" t="str">
        <x:v>OPEN</x:v>
      </x:c>
      <x:c r="K157" s="27" t="b">
        <x:v>0</x:v>
      </x:c>
      <x:c r="L157" s="27" t="b">
        <x:v>0</x:v>
      </x:c>
      <x:c r="M157" s="21" t="str">
        <x:v>BLOCKED</x:v>
      </x:c>
      <x:c r="N157" s="21" t="str">
        <x:v>BLOCKED</x:v>
      </x:c>
    </x:row>
    <x:row r="158">
      <x:c r="A158" s="21" t="str">
        <x:v>HPR-007</x:v>
      </x:c>
      <x:c r="B158" s="21" t="str">
        <x:v>site-f9067873c322-W2-H03</x:v>
      </x:c>
      <x:c r="C158" s="21" t="str">
        <x:v>site-f9067873c322</x:v>
      </x:c>
      <x:c r="D158" s="21" t="str">
        <x:v>حائط البراق</x:v>
      </x:c>
      <x:c r="E158" s="21" t="str">
        <x:v>القدس</x:v>
      </x:c>
      <x:c r="F158" s="21" t="str">
        <x:v>Detailed 1967 demolition chronology</x:v>
      </x:c>
      <x:c r="G158" s="21" t="n">
        <x:v>40</x:v>
      </x:c>
      <x:c r="H158" s="21" t="str">
        <x:v>P3_LONG_TAIL</x:v>
      </x:c>
      <x:c r="I158" s="21" t="str">
        <x:v>ARCHAEOLOGICAL_CHRONOLOGY</x:v>
      </x:c>
      <x:c r="J158" s="21" t="str">
        <x:v>OPEN</x:v>
      </x:c>
      <x:c r="K158" s="27" t="b">
        <x:v>0</x:v>
      </x:c>
      <x:c r="L158" s="27" t="b">
        <x:v>0</x:v>
      </x:c>
      <x:c r="M158" s="21" t="str">
        <x:v>BLOCKED</x:v>
      </x:c>
      <x:c r="N158" s="21" t="str">
        <x:v>BLOCKED</x:v>
      </x:c>
    </x:row>
    <x:row r="159">
      <x:c r="A159" s="21" t="str">
        <x:v>HPR-003</x:v>
      </x:c>
      <x:c r="B159" s="21" t="str">
        <x:v>site-f9df0c7e708c-W2-H01</x:v>
      </x:c>
      <x:c r="C159" s="21" t="str">
        <x:v>site-f9df0c7e708c</x:v>
      </x:c>
      <x:c r="D159" s="21" t="str">
        <x:v>بلدة سلوان</x:v>
      </x:c>
      <x:c r="E159" s="21" t="str">
        <x:v>القدس</x:v>
      </x:c>
      <x:c r="F159" s="21" t="str">
        <x:v>Canaanite/Roman/Islamic period sequence for the whole town</x:v>
      </x:c>
      <x:c r="G159" s="21" t="n">
        <x:v>40</x:v>
      </x:c>
      <x:c r="H159" s="21" t="str">
        <x:v>P3_LONG_TAIL</x:v>
      </x:c>
      <x:c r="I159" s="21" t="str">
        <x:v>ARCHAEOLOGICAL_CHRONOLOGY</x:v>
      </x:c>
      <x:c r="J159" s="21" t="str">
        <x:v>OPEN</x:v>
      </x:c>
      <x:c r="K159" s="27" t="b">
        <x:v>0</x:v>
      </x:c>
      <x:c r="L159" s="27" t="b">
        <x:v>0</x:v>
      </x:c>
      <x:c r="M159" s="21" t="str">
        <x:v>BLOCKED</x:v>
      </x:c>
      <x:c r="N159" s="21" t="str">
        <x:v>BLOCKED</x:v>
      </x:c>
    </x:row>
    <x:row r="160">
      <x:c r="A160" s="21" t="str">
        <x:v>HPR-046</x:v>
      </x:c>
      <x:c r="B160" s="21" t="str">
        <x:v>site-37c8be50ce73-W2-H01</x:v>
      </x:c>
      <x:c r="C160" s="21" t="str">
        <x:v>site-37c8be50ce73</x:v>
      </x:c>
      <x:c r="D160" s="21" t="str">
        <x:v>برك سليمان</x:v>
      </x:c>
      <x:c r="E160" s="21" t="str">
        <x:v>بيت لحم</x:v>
      </x:c>
      <x:c r="F160" s="21" t="str">
        <x:v>Ancient construction chronology</x:v>
      </x:c>
      <x:c r="G160" s="21" t="n">
        <x:v>40</x:v>
      </x:c>
      <x:c r="H160" s="21" t="str">
        <x:v>P3_LONG_TAIL</x:v>
      </x:c>
      <x:c r="I160" s="21" t="str">
        <x:v>ARCHAEOLOGICAL_CHRONOLOGY</x:v>
      </x:c>
      <x:c r="J160" s="21" t="str">
        <x:v>OPEN</x:v>
      </x:c>
      <x:c r="K160" s="27" t="b">
        <x:v>0</x:v>
      </x:c>
      <x:c r="L160" s="27" t="b">
        <x:v>0</x:v>
      </x:c>
      <x:c r="M160" s="21" t="str">
        <x:v>BLOCKED</x:v>
      </x:c>
      <x:c r="N160" s="21" t="str">
        <x:v>BLOCKED</x:v>
      </x:c>
    </x:row>
    <x:row r="161">
      <x:c r="A161" s="21" t="str">
        <x:v>HPR-059</x:v>
      </x:c>
      <x:c r="B161" s="21" t="str">
        <x:v>site-57adc62d6d70-W2-H01</x:v>
      </x:c>
      <x:c r="C161" s="21" t="str">
        <x:v>site-57adc62d6d70</x:v>
      </x:c>
      <x:c r="D161" s="21" t="str">
        <x:v>مغارة الحليب</x:v>
      </x:c>
      <x:c r="E161" s="21" t="str">
        <x:v>بيت لحم</x:v>
      </x:c>
      <x:c r="F161" s="21" t="str">
        <x:v>Byzantine dating</x:v>
      </x:c>
      <x:c r="G161" s="21" t="n">
        <x:v>40</x:v>
      </x:c>
      <x:c r="H161" s="21" t="str">
        <x:v>P3_LONG_TAIL</x:v>
      </x:c>
      <x:c r="I161" s="21" t="str">
        <x:v>ARCHAEOLOGICAL_CHRONOLOGY</x:v>
      </x:c>
      <x:c r="J161" s="21" t="str">
        <x:v>OPEN</x:v>
      </x:c>
      <x:c r="K161" s="27" t="b">
        <x:v>0</x:v>
      </x:c>
      <x:c r="L161" s="27" t="b">
        <x:v>0</x:v>
      </x:c>
      <x:c r="M161" s="21" t="str">
        <x:v>BLOCKED</x:v>
      </x:c>
      <x:c r="N161" s="21" t="str">
        <x:v>BLOCKED</x:v>
      </x:c>
    </x:row>
    <x:row r="162">
      <x:c r="A162" s="21" t="str">
        <x:v>HPR-060</x:v>
      </x:c>
      <x:c r="B162" s="21" t="str">
        <x:v>site-57adc62d6d70-W2-H02</x:v>
      </x:c>
      <x:c r="C162" s="21" t="str">
        <x:v>site-57adc62d6d70</x:v>
      </x:c>
      <x:c r="D162" s="21" t="str">
        <x:v>مغارة الحليب</x:v>
      </x:c>
      <x:c r="E162" s="21" t="str">
        <x:v>بيت لحم</x:v>
      </x:c>
      <x:c r="F162" s="21" t="str">
        <x:v>Full excavation results</x:v>
      </x:c>
      <x:c r="G162" s="21" t="n">
        <x:v>40</x:v>
      </x:c>
      <x:c r="H162" s="21" t="str">
        <x:v>P3_LONG_TAIL</x:v>
      </x:c>
      <x:c r="I162" s="21" t="str">
        <x:v>ARCHAEOLOGICAL_CHRONOLOGY</x:v>
      </x:c>
      <x:c r="J162" s="21" t="str">
        <x:v>OPEN</x:v>
      </x:c>
      <x:c r="K162" s="27" t="b">
        <x:v>0</x:v>
      </x:c>
      <x:c r="L162" s="27" t="b">
        <x:v>0</x:v>
      </x:c>
      <x:c r="M162" s="21" t="str">
        <x:v>BLOCKED</x:v>
      </x:c>
      <x:c r="N162" s="21" t="str">
        <x:v>BLOCKED</x:v>
      </x:c>
    </x:row>
    <x:row r="163">
      <x:c r="A163" s="21" t="str">
        <x:v>HPR-051</x:v>
      </x:c>
      <x:c r="B163" s="21" t="str">
        <x:v>site-a8aeb054b451-W2-H01</x:v>
      </x:c>
      <x:c r="C163" s="21" t="str">
        <x:v>site-a8aeb054b451</x:v>
      </x:c>
      <x:c r="D163" s="21" t="str">
        <x:v>دير مار سابا</x:v>
      </x:c>
      <x:c r="E163" s="21" t="str">
        <x:v>بيت لحم</x:v>
      </x:c>
      <x:c r="F163" s="21" t="str">
        <x:v>Detailed building chronology</x:v>
      </x:c>
      <x:c r="G163" s="21" t="n">
        <x:v>40</x:v>
      </x:c>
      <x:c r="H163" s="21" t="str">
        <x:v>P3_LONG_TAIL</x:v>
      </x:c>
      <x:c r="I163" s="21" t="str">
        <x:v>ARCHAEOLOGICAL_CHRONOLOGY</x:v>
      </x:c>
      <x:c r="J163" s="21" t="str">
        <x:v>OPEN</x:v>
      </x:c>
      <x:c r="K163" s="27" t="b">
        <x:v>0</x:v>
      </x:c>
      <x:c r="L163" s="27" t="b">
        <x:v>0</x:v>
      </x:c>
      <x:c r="M163" s="21" t="str">
        <x:v>BLOCKED</x:v>
      </x:c>
      <x:c r="N163" s="21" t="str">
        <x:v>BLOCKED</x:v>
      </x:c>
    </x:row>
    <x:row r="164">
      <x:c r="A164" s="21" t="str">
        <x:v>HPR-050</x:v>
      </x:c>
      <x:c r="B164" s="21" t="str">
        <x:v>site-f97aa993c98b-W2-H02</x:v>
      </x:c>
      <x:c r="C164" s="21" t="str">
        <x:v>site-f97aa993c98b</x:v>
      </x:c>
      <x:c r="D164" s="21" t="str">
        <x:v>دير الجنة (الخضر)</x:v>
      </x:c>
      <x:c r="E164" s="21" t="str">
        <x:v>بيت لحم</x:v>
      </x:c>
      <x:c r="F164" s="21" t="str">
        <x:v>Byzantine/Crusader dating</x:v>
      </x:c>
      <x:c r="G164" s="21" t="n">
        <x:v>40</x:v>
      </x:c>
      <x:c r="H164" s="21" t="str">
        <x:v>P3_LONG_TAIL</x:v>
      </x:c>
      <x:c r="I164" s="21" t="str">
        <x:v>ARCHAEOLOGICAL_CHRONOLOGY</x:v>
      </x:c>
      <x:c r="J164" s="21" t="str">
        <x:v>OPEN</x:v>
      </x:c>
      <x:c r="K164" s="27" t="b">
        <x:v>0</x:v>
      </x:c>
      <x:c r="L164" s="27" t="b">
        <x:v>0</x:v>
      </x:c>
      <x:c r="M164" s="21" t="str">
        <x:v>BLOCKED</x:v>
      </x:c>
      <x:c r="N164" s="21" t="str">
        <x:v>BLOCKED</x:v>
      </x:c>
    </x:row>
    <x:row r="165">
      <x:c r="A165" s="21" t="str">
        <x:v>HPR-119</x:v>
      </x:c>
      <x:c r="B165" s="21" t="str">
        <x:v>site-0ae63f2b6a17-W4-H03</x:v>
      </x:c>
      <x:c r="C165" s="21" t="str">
        <x:v>site-0ae63f2b6a17</x:v>
      </x:c>
      <x:c r="D165" s="21" t="str">
        <x:v>تل جنين</x:v>
      </x:c>
      <x:c r="E165" s="21" t="str">
        <x:v>جنين</x:v>
      </x:c>
      <x:c r="F165" s="21" t="str">
        <x:v>Chronology</x:v>
      </x:c>
      <x:c r="G165" s="21" t="n">
        <x:v>40</x:v>
      </x:c>
      <x:c r="H165" s="21" t="str">
        <x:v>P3_LONG_TAIL</x:v>
      </x:c>
      <x:c r="I165" s="21" t="str">
        <x:v>ARCHAEOLOGICAL_CHRONOLOGY</x:v>
      </x:c>
      <x:c r="J165" s="21" t="str">
        <x:v>OPEN</x:v>
      </x:c>
      <x:c r="K165" s="27" t="b">
        <x:v>0</x:v>
      </x:c>
      <x:c r="L165" s="27" t="b">
        <x:v>0</x:v>
      </x:c>
      <x:c r="M165" s="21" t="str">
        <x:v>BLOCKED</x:v>
      </x:c>
      <x:c r="N165" s="21" t="str">
        <x:v>BLOCKED</x:v>
      </x:c>
    </x:row>
    <x:row r="166">
      <x:c r="A166" s="21" t="str">
        <x:v>HPR-125</x:v>
      </x:c>
      <x:c r="B166" s="21" t="str">
        <x:v>site-2c1f6b6dbd51-W4-H03</x:v>
      </x:c>
      <x:c r="C166" s="21" t="str">
        <x:v>site-2c1f6b6dbd51</x:v>
      </x:c>
      <x:c r="D166" s="21" t="str">
        <x:v>كنيسة برقين</x:v>
      </x:c>
      <x:c r="E166" s="21" t="str">
        <x:v>جنين</x:v>
      </x:c>
      <x:c r="F166" s="21" t="str">
        <x:v>Complete Byzantine/Crusader/Ottoman sequence</x:v>
      </x:c>
      <x:c r="G166" s="21" t="n">
        <x:v>40</x:v>
      </x:c>
      <x:c r="H166" s="21" t="str">
        <x:v>P3_LONG_TAIL</x:v>
      </x:c>
      <x:c r="I166" s="21" t="str">
        <x:v>ARCHAEOLOGICAL_CHRONOLOGY</x:v>
      </x:c>
      <x:c r="J166" s="21" t="str">
        <x:v>OPEN</x:v>
      </x:c>
      <x:c r="K166" s="27" t="b">
        <x:v>0</x:v>
      </x:c>
      <x:c r="L166" s="27" t="b">
        <x:v>0</x:v>
      </x:c>
      <x:c r="M166" s="21" t="str">
        <x:v>BLOCKED</x:v>
      </x:c>
      <x:c r="N166" s="21" t="str">
        <x:v>BLOCKED</x:v>
      </x:c>
    </x:row>
    <x:row r="167">
      <x:c r="A167" s="21" t="str">
        <x:v>HPR-193</x:v>
      </x:c>
      <x:c r="B167" s="21" t="str">
        <x:v>site-12fc185d4b0b-W5-H01</x:v>
      </x:c>
      <x:c r="C167" s="21" t="str">
        <x:v>site-12fc185d4b0b</x:v>
      </x:c>
      <x:c r="D167" s="21" t="str">
        <x:v>مقام النبي صالح</x:v>
      </x:c>
      <x:c r="E167" s="21" t="str">
        <x:v>رام الله والبيرة</x:v>
      </x:c>
      <x:c r="F167" s="21" t="str">
        <x:v>Ayyubid foundation</x:v>
      </x:c>
      <x:c r="G167" s="21" t="n">
        <x:v>40</x:v>
      </x:c>
      <x:c r="H167" s="21" t="str">
        <x:v>P3_LONG_TAIL</x:v>
      </x:c>
      <x:c r="I167" s="21" t="str">
        <x:v>ARCHAEOLOGICAL_CHRONOLOGY</x:v>
      </x:c>
      <x:c r="J167" s="21" t="str">
        <x:v>OPEN</x:v>
      </x:c>
      <x:c r="K167" s="27" t="b">
        <x:v>0</x:v>
      </x:c>
      <x:c r="L167" s="27" t="b">
        <x:v>0</x:v>
      </x:c>
      <x:c r="M167" s="21" t="str">
        <x:v>BLOCKED</x:v>
      </x:c>
      <x:c r="N167" s="21" t="str">
        <x:v>BLOCKED</x:v>
      </x:c>
    </x:row>
    <x:row r="168">
      <x:c r="A168" s="21" t="str">
        <x:v>HPR-195</x:v>
      </x:c>
      <x:c r="B168" s="21" t="str">
        <x:v>site-12fc185d4b0b-W5-H03</x:v>
      </x:c>
      <x:c r="C168" s="21" t="str">
        <x:v>site-12fc185d4b0b</x:v>
      </x:c>
      <x:c r="D168" s="21" t="str">
        <x:v>مقام النبي صالح</x:v>
      </x:c>
      <x:c r="E168" s="21" t="str">
        <x:v>رام الله والبيرة</x:v>
      </x:c>
      <x:c r="F168" s="21" t="str">
        <x:v>Complete architectural phase history</x:v>
      </x:c>
      <x:c r="G168" s="21" t="n">
        <x:v>40</x:v>
      </x:c>
      <x:c r="H168" s="21" t="str">
        <x:v>P3_LONG_TAIL</x:v>
      </x:c>
      <x:c r="I168" s="21" t="str">
        <x:v>ARCHAEOLOGICAL_CHRONOLOGY</x:v>
      </x:c>
      <x:c r="J168" s="21" t="str">
        <x:v>OPEN</x:v>
      </x:c>
      <x:c r="K168" s="27" t="b">
        <x:v>0</x:v>
      </x:c>
      <x:c r="L168" s="27" t="b">
        <x:v>0</x:v>
      </x:c>
      <x:c r="M168" s="21" t="str">
        <x:v>BLOCKED</x:v>
      </x:c>
      <x:c r="N168" s="21" t="str">
        <x:v>BLOCKED</x:v>
      </x:c>
    </x:row>
    <x:row r="169">
      <x:c r="A169" s="21" t="str">
        <x:v>HPR-190</x:v>
      </x:c>
      <x:c r="B169" s="21" t="str">
        <x:v>site-78a64ec5ef15-W5-H02</x:v>
      </x:c>
      <x:c r="C169" s="21" t="str">
        <x:v>site-78a64ec5ef15</x:v>
      </x:c>
      <x:c r="D169" s="21" t="str">
        <x:v>قصر الريان</x:v>
      </x:c>
      <x:c r="E169" s="21" t="str">
        <x:v>رام الله والبيرة</x:v>
      </x:c>
      <x:c r="F169" s="21" t="str">
        <x:v>Ottoman date</x:v>
      </x:c>
      <x:c r="G169" s="21" t="n">
        <x:v>40</x:v>
      </x:c>
      <x:c r="H169" s="21" t="str">
        <x:v>P3_LONG_TAIL</x:v>
      </x:c>
      <x:c r="I169" s="21" t="str">
        <x:v>ARCHAEOLOGICAL_CHRONOLOGY</x:v>
      </x:c>
      <x:c r="J169" s="21" t="str">
        <x:v>OPEN</x:v>
      </x:c>
      <x:c r="K169" s="27" t="b">
        <x:v>0</x:v>
      </x:c>
      <x:c r="L169" s="27" t="b">
        <x:v>0</x:v>
      </x:c>
      <x:c r="M169" s="21" t="str">
        <x:v>BLOCKED</x:v>
      </x:c>
      <x:c r="N169" s="21" t="str">
        <x:v>BLOCKED</x:v>
      </x:c>
    </x:row>
    <x:row r="170">
      <x:c r="A170" s="21" t="str">
        <x:v>HPR-191</x:v>
      </x:c>
      <x:c r="B170" s="21" t="str">
        <x:v>site-78a64ec5ef15-W5-H03</x:v>
      </x:c>
      <x:c r="C170" s="21" t="str">
        <x:v>site-78a64ec5ef15</x:v>
      </x:c>
      <x:c r="D170" s="21" t="str">
        <x:v>قصر الريان</x:v>
      </x:c>
      <x:c r="E170" s="21" t="str">
        <x:v>رام الله والبيرة</x:v>
      </x:c>
      <x:c r="F170" s="21" t="str">
        <x:v>Canonical name and locality</x:v>
      </x:c>
      <x:c r="G170" s="21" t="n">
        <x:v>40</x:v>
      </x:c>
      <x:c r="H170" s="21" t="str">
        <x:v>P3_LONG_TAIL</x:v>
      </x:c>
      <x:c r="I170" s="21" t="str">
        <x:v>OTHER_SPECIALIST</x:v>
      </x:c>
      <x:c r="J170" s="21" t="str">
        <x:v>OPEN</x:v>
      </x:c>
      <x:c r="K170" s="27" t="b">
        <x:v>0</x:v>
      </x:c>
      <x:c r="L170" s="27" t="b">
        <x:v>0</x:v>
      </x:c>
      <x:c r="M170" s="21" t="str">
        <x:v>BLOCKED</x:v>
      </x:c>
      <x:c r="N170" s="21" t="str">
        <x:v>BLOCKED</x:v>
      </x:c>
    </x:row>
    <x:row r="171">
      <x:c r="A171" s="21" t="str">
        <x:v>HPR-166</x:v>
      </x:c>
      <x:c r="B171" s="21" t="str">
        <x:v>site-b2a7e03ecda1-W4-H03</x:v>
      </x:c>
      <x:c r="C171" s="21" t="str">
        <x:v>site-b2a7e03ecda1</x:v>
      </x:c>
      <x:c r="D171" s="21" t="str">
        <x:v>قلعة كفل حارس</x:v>
      </x:c>
      <x:c r="E171" s="21" t="str">
        <x:v>سلفيت</x:v>
      </x:c>
      <x:c r="F171" s="21" t="str">
        <x:v>Crusader/Mamluk dates</x:v>
      </x:c>
      <x:c r="G171" s="21" t="n">
        <x:v>40</x:v>
      </x:c>
      <x:c r="H171" s="21" t="str">
        <x:v>P3_LONG_TAIL</x:v>
      </x:c>
      <x:c r="I171" s="21" t="str">
        <x:v>ARCHAEOLOGICAL_CHRONOLOGY</x:v>
      </x:c>
      <x:c r="J171" s="21" t="str">
        <x:v>OPEN</x:v>
      </x:c>
      <x:c r="K171" s="27" t="b">
        <x:v>0</x:v>
      </x:c>
      <x:c r="L171" s="27" t="b">
        <x:v>0</x:v>
      </x:c>
      <x:c r="M171" s="21" t="str">
        <x:v>BLOCKED</x:v>
      </x:c>
      <x:c r="N171" s="21" t="str">
        <x:v>BLOCKED</x:v>
      </x:c>
    </x:row>
    <x:row r="172">
      <x:c r="A172" s="21" t="str">
        <x:v>HPR-173</x:v>
      </x:c>
      <x:c r="B172" s="21" t="str">
        <x:v>site-4ab7d2100cc2-W4-H04</x:v>
      </x:c>
      <x:c r="C172" s="21" t="str">
        <x:v>site-4ab7d2100cc2</x:v>
      </x:c>
      <x:c r="D172" s="21" t="str">
        <x:v>خربة طوباس القديمة</x:v>
      </x:c>
      <x:c r="E172" s="21" t="str">
        <x:v>طوباس</x:v>
      </x:c>
      <x:c r="F172" s="21" t="str">
        <x:v>Periodization</x:v>
      </x:c>
      <x:c r="G172" s="21" t="n">
        <x:v>40</x:v>
      </x:c>
      <x:c r="H172" s="21" t="str">
        <x:v>P3_LONG_TAIL</x:v>
      </x:c>
      <x:c r="I172" s="21" t="str">
        <x:v>ARCHAEOLOGICAL_CHRONOLOGY</x:v>
      </x:c>
      <x:c r="J172" s="21" t="str">
        <x:v>OPEN</x:v>
      </x:c>
      <x:c r="K172" s="27" t="b">
        <x:v>0</x:v>
      </x:c>
      <x:c r="L172" s="27" t="b">
        <x:v>0</x:v>
      </x:c>
      <x:c r="M172" s="21" t="str">
        <x:v>BLOCKED</x:v>
      </x:c>
      <x:c r="N172" s="21" t="str">
        <x:v>BLOCKED</x:v>
      </x:c>
    </x:row>
    <x:row r="173">
      <x:c r="A173" s="21" t="str">
        <x:v>HPR-167</x:v>
      </x:c>
      <x:c r="B173" s="21" t="str">
        <x:v>site-c6731a990917-W4-H01</x:v>
      </x:c>
      <x:c r="C173" s="21" t="str">
        <x:v>site-c6731a990917</x:v>
      </x:c>
      <x:c r="D173" s="21" t="str">
        <x:v>تل الفارعة (المدينة الكنعانية)</x:v>
      </x:c>
      <x:c r="E173" s="21" t="str">
        <x:v>طوباس</x:v>
      </x:c>
      <x:c r="F173" s="21" t="str">
        <x:v>Complete stratigraphy</x:v>
      </x:c>
      <x:c r="G173" s="21" t="n">
        <x:v>40</x:v>
      </x:c>
      <x:c r="H173" s="21" t="str">
        <x:v>P3_LONG_TAIL</x:v>
      </x:c>
      <x:c r="I173" s="21" t="str">
        <x:v>ARCHAEOLOGICAL_CHRONOLOGY</x:v>
      </x:c>
      <x:c r="J173" s="21" t="str">
        <x:v>OPEN</x:v>
      </x:c>
      <x:c r="K173" s="27" t="b">
        <x:v>0</x:v>
      </x:c>
      <x:c r="L173" s="27" t="b">
        <x:v>0</x:v>
      </x:c>
      <x:c r="M173" s="21" t="str">
        <x:v>BLOCKED</x:v>
      </x:c>
      <x:c r="N173" s="21" t="str">
        <x:v>BLOCKED</x:v>
      </x:c>
    </x:row>
    <x:row r="174">
      <x:c r="A174" s="21" t="str">
        <x:v>HPR-138</x:v>
      </x:c>
      <x:c r="B174" s="21" t="str">
        <x:v>site-0c0a379f20f7-W4-H02</x:v>
      </x:c>
      <x:c r="C174" s="21" t="str">
        <x:v>site-0c0a379f20f7</x:v>
      </x:c>
      <x:c r="D174" s="21" t="str">
        <x:v>خربة جبع</x:v>
      </x:c>
      <x:c r="E174" s="21" t="str">
        <x:v>طولكرم</x:v>
      </x:c>
      <x:c r="F174" s="21" t="str">
        <x:v>Roman/Byzantine phases</x:v>
      </x:c>
      <x:c r="G174" s="21" t="n">
        <x:v>40</x:v>
      </x:c>
      <x:c r="H174" s="21" t="str">
        <x:v>P3_LONG_TAIL</x:v>
      </x:c>
      <x:c r="I174" s="21" t="str">
        <x:v>ARCHAEOLOGICAL_CHRONOLOGY</x:v>
      </x:c>
      <x:c r="J174" s="21" t="str">
        <x:v>OPEN</x:v>
      </x:c>
      <x:c r="K174" s="27" t="b">
        <x:v>0</x:v>
      </x:c>
      <x:c r="L174" s="27" t="b">
        <x:v>0</x:v>
      </x:c>
      <x:c r="M174" s="21" t="str">
        <x:v>BLOCKED</x:v>
      </x:c>
      <x:c r="N174" s="21" t="str">
        <x:v>BLOCKED</x:v>
      </x:c>
    </x:row>
    <x:row r="175">
      <x:c r="A175" s="21" t="str">
        <x:v>HPR-135</x:v>
      </x:c>
      <x:c r="B175" s="21" t="str">
        <x:v>site-7a4bd929848c-W4-H03</x:v>
      </x:c>
      <x:c r="C175" s="21" t="str">
        <x:v>site-7a4bd929848c</x:v>
      </x:c>
      <x:c r="D175" s="21" t="str">
        <x:v>خربة برج العبد</x:v>
      </x:c>
      <x:c r="E175" s="21" t="str">
        <x:v>طولكرم</x:v>
      </x:c>
      <x:c r="F175" s="21" t="str">
        <x:v>Fortification date</x:v>
      </x:c>
      <x:c r="G175" s="21" t="n">
        <x:v>40</x:v>
      </x:c>
      <x:c r="H175" s="21" t="str">
        <x:v>P3_LONG_TAIL</x:v>
      </x:c>
      <x:c r="I175" s="21" t="str">
        <x:v>ARCHAEOLOGICAL_CHRONOLOGY</x:v>
      </x:c>
      <x:c r="J175" s="21" t="str">
        <x:v>OPEN</x:v>
      </x:c>
      <x:c r="K175" s="27" t="b">
        <x:v>0</x:v>
      </x:c>
      <x:c r="L175" s="27" t="b">
        <x:v>0</x:v>
      </x:c>
      <x:c r="M175" s="21" t="str">
        <x:v>BLOCKED</x:v>
      </x:c>
      <x:c r="N175" s="21" t="str">
        <x:v>BLOCKED</x:v>
      </x:c>
    </x:row>
    <x:row r="176">
      <x:c r="A176" s="21" t="str">
        <x:v>HPR-131</x:v>
      </x:c>
      <x:c r="B176" s="21" t="str">
        <x:v>site-a28891855f38-W4-H02</x:v>
      </x:c>
      <x:c r="C176" s="21" t="str">
        <x:v>site-a28891855f38</x:v>
      </x:c>
      <x:c r="D176" s="21" t="str">
        <x:v>بلدة دير الغصون</x:v>
      </x:c>
      <x:c r="E176" s="21" t="str">
        <x:v>طولكرم</x:v>
      </x:c>
      <x:c r="F176" s="21" t="str">
        <x:v>Periodization</x:v>
      </x:c>
      <x:c r="G176" s="21" t="n">
        <x:v>40</x:v>
      </x:c>
      <x:c r="H176" s="21" t="str">
        <x:v>P3_LONG_TAIL</x:v>
      </x:c>
      <x:c r="I176" s="21" t="str">
        <x:v>ARCHAEOLOGICAL_CHRONOLOGY</x:v>
      </x:c>
      <x:c r="J176" s="21" t="str">
        <x:v>OPEN</x:v>
      </x:c>
      <x:c r="K176" s="27" t="b">
        <x:v>0</x:v>
      </x:c>
      <x:c r="L176" s="27" t="b">
        <x:v>0</x:v>
      </x:c>
      <x:c r="M176" s="21" t="str">
        <x:v>BLOCKED</x:v>
      </x:c>
      <x:c r="N176" s="21" t="str">
        <x:v>BLOCKED</x:v>
      </x:c>
    </x:row>
    <x:row r="177">
      <x:c r="A177" s="21" t="str">
        <x:v>HPR-149</x:v>
      </x:c>
      <x:c r="B177" s="21" t="str">
        <x:v>site-02cb039fe1eb-W4-H03</x:v>
      </x:c>
      <x:c r="C177" s="21" t="str">
        <x:v>site-02cb039fe1eb</x:v>
      </x:c>
      <x:c r="D177" s="21" t="str">
        <x:v>خربة عزون</x:v>
      </x:c>
      <x:c r="E177" s="21" t="str">
        <x:v>قلقيلية</x:v>
      </x:c>
      <x:c r="F177" s="21" t="str">
        <x:v>Periodization</x:v>
      </x:c>
      <x:c r="G177" s="21" t="n">
        <x:v>40</x:v>
      </x:c>
      <x:c r="H177" s="21" t="str">
        <x:v>P3_LONG_TAIL</x:v>
      </x:c>
      <x:c r="I177" s="21" t="str">
        <x:v>ARCHAEOLOGICAL_CHRONOLOGY</x:v>
      </x:c>
      <x:c r="J177" s="21" t="str">
        <x:v>OPEN</x:v>
      </x:c>
      <x:c r="K177" s="27" t="b">
        <x:v>0</x:v>
      </x:c>
      <x:c r="L177" s="27" t="b">
        <x:v>0</x:v>
      </x:c>
      <x:c r="M177" s="21" t="str">
        <x:v>BLOCKED</x:v>
      </x:c>
      <x:c r="N177" s="21" t="str">
        <x:v>BLOCKED</x:v>
      </x:c>
    </x:row>
    <x:row r="178">
      <x:c r="A178" s="21" t="str">
        <x:v>HPR-153</x:v>
      </x:c>
      <x:c r="B178" s="21" t="str">
        <x:v>site-3ab4c5b64173-W4-H04</x:v>
      </x:c>
      <x:c r="C178" s="21" t="str">
        <x:v>site-3ab4c5b64173</x:v>
      </x:c>
      <x:c r="D178" s="21" t="str">
        <x:v>خربة قلقيلية القديمة</x:v>
      </x:c>
      <x:c r="E178" s="21" t="str">
        <x:v>قلقيلية</x:v>
      </x:c>
      <x:c r="F178" s="21" t="str">
        <x:v>Periodization</x:v>
      </x:c>
      <x:c r="G178" s="21" t="n">
        <x:v>40</x:v>
      </x:c>
      <x:c r="H178" s="21" t="str">
        <x:v>P3_LONG_TAIL</x:v>
      </x:c>
      <x:c r="I178" s="21" t="str">
        <x:v>ARCHAEOLOGICAL_CHRONOLOGY</x:v>
      </x:c>
      <x:c r="J178" s="21" t="str">
        <x:v>OPEN</x:v>
      </x:c>
      <x:c r="K178" s="27" t="b">
        <x:v>0</x:v>
      </x:c>
      <x:c r="L178" s="27" t="b">
        <x:v>0</x:v>
      </x:c>
      <x:c r="M178" s="21" t="str">
        <x:v>BLOCKED</x:v>
      </x:c>
      <x:c r="N178" s="21" t="str">
        <x:v>BLOCKED</x:v>
      </x:c>
    </x:row>
    <x:row r="179">
      <x:c r="A179" s="21" t="str">
        <x:v>HPR-155</x:v>
      </x:c>
      <x:c r="B179" s="21" t="str">
        <x:v>site-a33c0a4f64fa-W4-H02</x:v>
      </x:c>
      <x:c r="C179" s="21" t="str">
        <x:v>site-a33c0a4f64fa</x:v>
      </x:c>
      <x:c r="D179" s="21" t="str">
        <x:v>مقام النبي يامين</x:v>
      </x:c>
      <x:c r="E179" s="21" t="str">
        <x:v>قلقيلية</x:v>
      </x:c>
      <x:c r="F179" s="21" t="str">
        <x:v>Mamluk date</x:v>
      </x:c>
      <x:c r="G179" s="21" t="n">
        <x:v>40</x:v>
      </x:c>
      <x:c r="H179" s="21" t="str">
        <x:v>P3_LONG_TAIL</x:v>
      </x:c>
      <x:c r="I179" s="21" t="str">
        <x:v>ARCHAEOLOGICAL_CHRONOLOGY</x:v>
      </x:c>
      <x:c r="J179" s="21" t="str">
        <x:v>OPEN</x:v>
      </x:c>
      <x:c r="K179" s="27" t="b">
        <x:v>0</x:v>
      </x:c>
      <x:c r="L179" s="27" t="b">
        <x:v>0</x:v>
      </x:c>
      <x:c r="M179" s="21" t="str">
        <x:v>BLOCKED</x:v>
      </x:c>
      <x:c r="N179" s="21" t="str">
        <x:v>BLOCKED</x:v>
      </x:c>
    </x:row>
    <x:row r="180">
      <x:c r="A180" s="21" t="str">
        <x:v>HPR-096</x:v>
      </x:c>
      <x:c r="B180" s="21" t="str">
        <x:v>site-a429c345ac25-W4-H01</x:v>
      </x:c>
      <x:c r="C180" s="21" t="str">
        <x:v>site-a429c345ac25</x:v>
      </x:c>
      <x:c r="D180" s="21" t="str">
        <x:v>جامع النصر</x:v>
      </x:c>
      <x:c r="E180" s="21" t="str">
        <x:v>نابلس</x:v>
      </x:c>
      <x:c r="F180" s="21" t="str">
        <x:v>Foundation date</x:v>
      </x:c>
      <x:c r="G180" s="21" t="n">
        <x:v>40</x:v>
      </x:c>
      <x:c r="H180" s="21" t="str">
        <x:v>P3_LONG_TAIL</x:v>
      </x:c>
      <x:c r="I180" s="21" t="str">
        <x:v>ARCHAEOLOGICAL_CHRONOLOGY</x:v>
      </x:c>
      <x:c r="J180" s="21" t="str">
        <x:v>OPEN</x:v>
      </x:c>
      <x:c r="K180" s="27" t="b">
        <x:v>0</x:v>
      </x:c>
      <x:c r="L180" s="27" t="b">
        <x:v>0</x:v>
      </x:c>
      <x:c r="M180" s="21" t="str">
        <x:v>BLOCKED</x:v>
      </x:c>
      <x:c r="N180" s="21" t="str">
        <x:v>BLOCKED</x:v>
      </x:c>
    </x:row>
    <x:row r="181">
      <x:c r="A181" s="21" t="str">
        <x:v>HPR-100</x:v>
      </x:c>
      <x:c r="B181" s="21" t="str">
        <x:v>site-b6773e683274-W4-H02</x:v>
      </x:c>
      <x:c r="C181" s="21" t="str">
        <x:v>site-b6773e683274</x:v>
      </x:c>
      <x:c r="D181" s="21" t="str">
        <x:v>جبل جرزيم</x:v>
      </x:c>
      <x:c r="E181" s="21" t="str">
        <x:v>نابلس</x:v>
      </x:c>
      <x:c r="F181" s="21" t="str">
        <x:v>Complete excavation chronology</x:v>
      </x:c>
      <x:c r="G181" s="21" t="n">
        <x:v>40</x:v>
      </x:c>
      <x:c r="H181" s="21" t="str">
        <x:v>P3_LONG_TAIL</x:v>
      </x:c>
      <x:c r="I181" s="21" t="str">
        <x:v>ARCHAEOLOGICAL_CHRONOLOGY</x:v>
      </x:c>
      <x:c r="J181" s="21" t="str">
        <x:v>OPEN</x:v>
      </x:c>
      <x:c r="K181" s="27" t="b">
        <x:v>0</x:v>
      </x:c>
      <x:c r="L181" s="27" t="b">
        <x:v>0</x:v>
      </x:c>
      <x:c r="M181" s="21" t="str">
        <x:v>BLOCKED</x:v>
      </x:c>
      <x:c r="N181" s="21" t="str">
        <x:v>BLOCKED</x:v>
      </x:c>
    </x:row>
    <x:row r="182">
      <x:c r="A182" s="21" t="str">
        <x:v>HPR-112</x:v>
      </x:c>
      <x:c r="B182" s="21" t="str">
        <x:v>site-fb9a817ec94a-W4-H02</x:v>
      </x:c>
      <x:c r="C182" s="21" t="str">
        <x:v>site-fb9a817ec94a</x:v>
      </x:c>
      <x:c r="D182" s="21" t="str">
        <x:v>مقام النبي يوسف (بلاطة)</x:v>
      </x:c>
      <x:c r="E182" s="21" t="str">
        <x:v>نابلس</x:v>
      </x:c>
      <x:c r="F182" s="21" t="str">
        <x:v>Foundation date</x:v>
      </x:c>
      <x:c r="G182" s="21" t="n">
        <x:v>40</x:v>
      </x:c>
      <x:c r="H182" s="21" t="str">
        <x:v>P3_LONG_TAIL</x:v>
      </x:c>
      <x:c r="I182" s="21" t="str">
        <x:v>ARCHAEOLOGICAL_CHRONOLOGY</x:v>
      </x:c>
      <x:c r="J182" s="21" t="str">
        <x:v>OPEN</x:v>
      </x:c>
      <x:c r="K182" s="27" t="b">
        <x:v>0</x:v>
      </x:c>
      <x:c r="L182" s="27" t="b">
        <x:v>0</x:v>
      </x:c>
      <x:c r="M182" s="21" t="str">
        <x:v>BLOCKED</x:v>
      </x:c>
      <x:c r="N182" s="21" t="str">
        <x:v>BLOCKED</x:v>
      </x:c>
    </x:row>
    <x:row r="183">
      <x:c r="A183" s="21" t="str">
        <x:v>HPR-113</x:v>
      </x:c>
      <x:c r="B183" s="21" t="str">
        <x:v>site-fb9a817ec94a-W4-H03</x:v>
      </x:c>
      <x:c r="C183" s="21" t="str">
        <x:v>site-fb9a817ec94a</x:v>
      </x:c>
      <x:c r="D183" s="21" t="str">
        <x:v>مقام النبي يوسف (بلاطة)</x:v>
      </x:c>
      <x:c r="E183" s="21" t="str">
        <x:v>نابلس</x:v>
      </x:c>
      <x:c r="F183" s="21" t="str">
        <x:v>Complete architectural chronology</x:v>
      </x:c>
      <x:c r="G183" s="21" t="n">
        <x:v>40</x:v>
      </x:c>
      <x:c r="H183" s="21" t="str">
        <x:v>P3_LONG_TAIL</x:v>
      </x:c>
      <x:c r="I183" s="21" t="str">
        <x:v>ARCHAEOLOGICAL_CHRONOLOGY</x:v>
      </x:c>
      <x:c r="J183" s="21" t="str">
        <x:v>OPEN</x:v>
      </x:c>
      <x:c r="K183" s="27" t="b">
        <x:v>0</x:v>
      </x:c>
      <x:c r="L183" s="27" t="b">
        <x:v>0</x:v>
      </x:c>
      <x:c r="M183" s="21" t="str">
        <x:v>BLOCKED</x:v>
      </x:c>
      <x:c r="N183" s="21" t="str">
        <x:v>BLOCKED</x:v>
      </x:c>
    </x:row>
    <x:row r="184">
      <x:c r="A184" s="21" t="str">
        <x:v>HPR-210</x:v>
      </x:c>
      <x:c r="B184" s="21" t="str">
        <x:v>site-c4d8c9fdd1f0-W5-H02</x:v>
      </x:c>
      <x:c r="C184" s="21" t="str">
        <x:v>site-c4d8c9fdd1f0</x:v>
      </x:c>
      <x:c r="D184" s="21" t="str">
        <x:v>مقام النبي موسى</x:v>
      </x:c>
      <x:c r="E184" s="21" t="str">
        <x:v>أريحا</x:v>
      </x:c>
      <x:c r="F184" s="21" t="str">
        <x:v>Burial historicity</x:v>
      </x:c>
      <x:c r="G184" s="21" t="n">
        <x:v>35</x:v>
      </x:c>
      <x:c r="H184" s="21" t="str">
        <x:v>P3_LONG_TAIL</x:v>
      </x:c>
      <x:c r="I184" s="21" t="str">
        <x:v>RELIGIOUS_ATTRIBUTION_CONTESTED</x:v>
      </x:c>
      <x:c r="J184" s="21" t="str">
        <x:v>OPEN</x:v>
      </x:c>
      <x:c r="K184" s="27" t="b">
        <x:v>0</x:v>
      </x:c>
      <x:c r="L184" s="27" t="b">
        <x:v>0</x:v>
      </x:c>
      <x:c r="M184" s="21" t="str">
        <x:v>BLOCKED</x:v>
      </x:c>
      <x:c r="N184" s="21" t="str">
        <x:v>BLOCKED</x:v>
      </x:c>
    </x:row>
    <x:row r="185">
      <x:c r="A185" s="21" t="str">
        <x:v>HPR-034</x:v>
      </x:c>
      <x:c r="B185" s="21" t="str">
        <x:v>site-c9ac723c0271-W2-H03</x:v>
      </x:c>
      <x:c r="C185" s="21" t="str">
        <x:v>site-c9ac723c0271</x:v>
      </x:c>
      <x:c r="D185" s="21" t="str">
        <x:v>خربة النبي نوح</x:v>
      </x:c>
      <x:c r="E185" s="21" t="str">
        <x:v>الخليل</x:v>
      </x:c>
      <x:c r="F185" s="21" t="str">
        <x:v>Burial attribution</x:v>
      </x:c>
      <x:c r="G185" s="21" t="n">
        <x:v>35</x:v>
      </x:c>
      <x:c r="H185" s="21" t="str">
        <x:v>P3_LONG_TAIL</x:v>
      </x:c>
      <x:c r="I185" s="21" t="str">
        <x:v>RELIGIOUS_ATTRIBUTION_CONTESTED</x:v>
      </x:c>
      <x:c r="J185" s="21" t="str">
        <x:v>OPEN</x:v>
      </x:c>
      <x:c r="K185" s="27" t="b">
        <x:v>0</x:v>
      </x:c>
      <x:c r="L185" s="27" t="b">
        <x:v>0</x:v>
      </x:c>
      <x:c r="M185" s="21" t="str">
        <x:v>BLOCKED</x:v>
      </x:c>
      <x:c r="N185" s="21" t="str">
        <x:v>BLOCKED</x:v>
      </x:c>
    </x:row>
    <x:row r="186">
      <x:c r="A186" s="21" t="str">
        <x:v>HPR-019</x:v>
      </x:c>
      <x:c r="B186" s="21" t="str">
        <x:v>site-3a3d3669f0ba-W2-H01</x:v>
      </x:c>
      <x:c r="C186" s="21" t="str">
        <x:v>site-3a3d3669f0ba</x:v>
      </x:c>
      <x:c r="D186" s="21" t="str">
        <x:v>مقام النبي داوود (جبل صهيون)</x:v>
      </x:c>
      <x:c r="E186" s="21" t="str">
        <x:v>القدس</x:v>
      </x:c>
      <x:c r="F186" s="21" t="str">
        <x:v>Burial attribution</x:v>
      </x:c>
      <x:c r="G186" s="21" t="n">
        <x:v>35</x:v>
      </x:c>
      <x:c r="H186" s="21" t="str">
        <x:v>P3_LONG_TAIL</x:v>
      </x:c>
      <x:c r="I186" s="21" t="str">
        <x:v>RELIGIOUS_ATTRIBUTION_CONTESTED</x:v>
      </x:c>
      <x:c r="J186" s="21" t="str">
        <x:v>OPEN</x:v>
      </x:c>
      <x:c r="K186" s="27" t="b">
        <x:v>0</x:v>
      </x:c>
      <x:c r="L186" s="27" t="b">
        <x:v>0</x:v>
      </x:c>
      <x:c r="M186" s="21" t="str">
        <x:v>BLOCKED</x:v>
      </x:c>
      <x:c r="N186" s="21" t="str">
        <x:v>BLOCKED</x:v>
      </x:c>
    </x:row>
    <x:row r="187">
      <x:c r="A187" s="21" t="str">
        <x:v>HPR-013</x:v>
      </x:c>
      <x:c r="B187" s="21" t="str">
        <x:v>site-8d297f3c37a9-W2-H02</x:v>
      </x:c>
      <x:c r="C187" s="21" t="str">
        <x:v>site-8d297f3c37a9</x:v>
      </x:c>
      <x:c r="D187" s="21" t="str">
        <x:v>قبر السيدة مريم (مغارة الجسمانية)</x:v>
      </x:c>
      <x:c r="E187" s="21" t="str">
        <x:v>القدس</x:v>
      </x:c>
      <x:c r="F187" s="21" t="str">
        <x:v>Archaeological proof of burial attribution</x:v>
      </x:c>
      <x:c r="G187" s="21" t="n">
        <x:v>35</x:v>
      </x:c>
      <x:c r="H187" s="21" t="str">
        <x:v>P3_LONG_TAIL</x:v>
      </x:c>
      <x:c r="I187" s="21" t="str">
        <x:v>RELIGIOUS_ATTRIBUTION_CONTESTED</x:v>
      </x:c>
      <x:c r="J187" s="21" t="str">
        <x:v>OPEN</x:v>
      </x:c>
      <x:c r="K187" s="27" t="b">
        <x:v>0</x:v>
      </x:c>
      <x:c r="L187" s="27" t="b">
        <x:v>0</x:v>
      </x:c>
      <x:c r="M187" s="21" t="str">
        <x:v>BLOCKED</x:v>
      </x:c>
      <x:c r="N187" s="21" t="str">
        <x:v>BLOCKED</x:v>
      </x:c>
    </x:row>
    <x:row r="188">
      <x:c r="A188" s="21" t="str">
        <x:v>HPR-054</x:v>
      </x:c>
      <x:c r="B188" s="21" t="str">
        <x:v>site-133155518939-W2-H02</x:v>
      </x:c>
      <x:c r="C188" s="21" t="str">
        <x:v>site-133155518939</x:v>
      </x:c>
      <x:c r="D188" s="21" t="str">
        <x:v>قصر هيروديون</x:v>
      </x:c>
      <x:c r="E188" s="21" t="str">
        <x:v>بيت لحم</x:v>
      </x:c>
      <x:c r="F188" s="21" t="str">
        <x:v>Tomb identification</x:v>
      </x:c>
      <x:c r="G188" s="21" t="n">
        <x:v>35</x:v>
      </x:c>
      <x:c r="H188" s="21" t="str">
        <x:v>P3_LONG_TAIL</x:v>
      </x:c>
      <x:c r="I188" s="21" t="str">
        <x:v>RELIGIOUS_ATTRIBUTION_CONTESTED</x:v>
      </x:c>
      <x:c r="J188" s="21" t="str">
        <x:v>OPEN</x:v>
      </x:c>
      <x:c r="K188" s="27" t="b">
        <x:v>0</x:v>
      </x:c>
      <x:c r="L188" s="27" t="b">
        <x:v>0</x:v>
      </x:c>
      <x:c r="M188" s="21" t="str">
        <x:v>BLOCKED</x:v>
      </x:c>
      <x:c r="N188" s="21" t="str">
        <x:v>BLOCKED</x:v>
      </x:c>
    </x:row>
    <x:row r="189">
      <x:c r="A189" s="21" t="str">
        <x:v>HPR-061</x:v>
      </x:c>
      <x:c r="B189" s="21" t="str">
        <x:v>site-57adc62d6d70-W2-H03</x:v>
      </x:c>
      <x:c r="C189" s="21" t="str">
        <x:v>site-57adc62d6d70</x:v>
      </x:c>
      <x:c r="D189" s="21" t="str">
        <x:v>مغارة الحليب</x:v>
      </x:c>
      <x:c r="E189" s="21" t="str">
        <x:v>بيت لحم</x:v>
      </x:c>
      <x:c r="F189" s="21" t="str">
        <x:v>Miraculous claims</x:v>
      </x:c>
      <x:c r="G189" s="21" t="n">
        <x:v>35</x:v>
      </x:c>
      <x:c r="H189" s="21" t="str">
        <x:v>P3_LONG_TAIL</x:v>
      </x:c>
      <x:c r="I189" s="21" t="str">
        <x:v>RELIGIOUS_ATTRIBUTION_CONTESTED</x:v>
      </x:c>
      <x:c r="J189" s="21" t="str">
        <x:v>OPEN</x:v>
      </x:c>
      <x:c r="K189" s="27" t="b">
        <x:v>0</x:v>
      </x:c>
      <x:c r="L189" s="27" t="b">
        <x:v>0</x:v>
      </x:c>
      <x:c r="M189" s="21" t="str">
        <x:v>BLOCKED</x:v>
      </x:c>
      <x:c r="N189" s="21" t="str">
        <x:v>BLOCKED</x:v>
      </x:c>
    </x:row>
    <x:row r="190">
      <x:c r="A190" s="21" t="str">
        <x:v>HPR-058</x:v>
      </x:c>
      <x:c r="B190" s="21" t="str">
        <x:v>site-63fe9eba7871-W2-H03</x:v>
      </x:c>
      <x:c r="C190" s="21" t="str">
        <x:v>site-63fe9eba7871</x:v>
      </x:c>
      <x:c r="D190" s="21" t="str">
        <x:v>قلعة البرك</x:v>
      </x:c>
      <x:c r="E190" s="21" t="str">
        <x:v>بيت لحم</x:v>
      </x:c>
      <x:c r="F190" s="21" t="str">
        <x:v>Original function beyond protection context</x:v>
      </x:c>
      <x:c r="G190" s="21" t="n">
        <x:v>35</x:v>
      </x:c>
      <x:c r="H190" s="21" t="str">
        <x:v>P3_LONG_TAIL</x:v>
      </x:c>
      <x:c r="I190" s="21" t="str">
        <x:v>OTHER_SPECIALIST</x:v>
      </x:c>
      <x:c r="J190" s="21" t="str">
        <x:v>OPEN</x:v>
      </x:c>
      <x:c r="K190" s="27" t="b">
        <x:v>0</x:v>
      </x:c>
      <x:c r="L190" s="27" t="b">
        <x:v>0</x:v>
      </x:c>
      <x:c r="M190" s="21" t="str">
        <x:v>BLOCKED</x:v>
      </x:c>
      <x:c r="N190" s="21" t="str">
        <x:v>BLOCKED</x:v>
      </x:c>
    </x:row>
    <x:row r="191">
      <x:c r="A191" s="21" t="str">
        <x:v>HPR-123</x:v>
      </x:c>
      <x:c r="B191" s="21" t="str">
        <x:v>site-2c1f6b6dbd51-W4-H01</x:v>
      </x:c>
      <x:c r="C191" s="21" t="str">
        <x:v>site-2c1f6b6dbd51</x:v>
      </x:c>
      <x:c r="D191" s="21" t="str">
        <x:v>كنيسة برقين</x:v>
      </x:c>
      <x:c r="E191" s="21" t="str">
        <x:v>جنين</x:v>
      </x:c>
      <x:c r="F191" s="21" t="str">
        <x:v>Saint Helena attribution</x:v>
      </x:c>
      <x:c r="G191" s="21" t="n">
        <x:v>35</x:v>
      </x:c>
      <x:c r="H191" s="21" t="str">
        <x:v>P3_LONG_TAIL</x:v>
      </x:c>
      <x:c r="I191" s="21" t="str">
        <x:v>RELIGIOUS_ATTRIBUTION_CONTESTED</x:v>
      </x:c>
      <x:c r="J191" s="21" t="str">
        <x:v>OPEN</x:v>
      </x:c>
      <x:c r="K191" s="27" t="b">
        <x:v>0</x:v>
      </x:c>
      <x:c r="L191" s="27" t="b">
        <x:v>0</x:v>
      </x:c>
      <x:c r="M191" s="21" t="str">
        <x:v>BLOCKED</x:v>
      </x:c>
      <x:c r="N191" s="21" t="str">
        <x:v>BLOCKED</x:v>
      </x:c>
    </x:row>
    <x:row r="192">
      <x:c r="A192" s="21" t="str">
        <x:v>HPR-183</x:v>
      </x:c>
      <x:c r="B192" s="21" t="str">
        <x:v>site-28dd528f5f3a-W5-H01</x:v>
      </x:c>
      <x:c r="C192" s="21" t="str">
        <x:v>site-28dd528f5f3a</x:v>
      </x:c>
      <x:c r="D192" s="21" t="str">
        <x:v>دير عمار</x:v>
      </x:c>
      <x:c r="E192" s="21" t="str">
        <x:v>رام الله والبيرة</x:v>
      </x:c>
      <x:c r="F192" s="21" t="str">
        <x:v>Roman and Byzantine evidence</x:v>
      </x:c>
      <x:c r="G192" s="21" t="n">
        <x:v>35</x:v>
      </x:c>
      <x:c r="H192" s="21" t="str">
        <x:v>P3_LONG_TAIL</x:v>
      </x:c>
      <x:c r="I192" s="21" t="str">
        <x:v>OTHER_SPECIALIST</x:v>
      </x:c>
      <x:c r="J192" s="21" t="str">
        <x:v>OPEN</x:v>
      </x:c>
      <x:c r="K192" s="27" t="b">
        <x:v>0</x:v>
      </x:c>
      <x:c r="L192" s="27" t="b">
        <x:v>0</x:v>
      </x:c>
      <x:c r="M192" s="21" t="str">
        <x:v>BLOCKED</x:v>
      </x:c>
      <x:c r="N192" s="21" t="str">
        <x:v>BLOCKED</x:v>
      </x:c>
    </x:row>
    <x:row r="193">
      <x:c r="A193" s="21" t="str">
        <x:v>HPR-184</x:v>
      </x:c>
      <x:c r="B193" s="21" t="str">
        <x:v>site-28dd528f5f3a-W5-H02</x:v>
      </x:c>
      <x:c r="C193" s="21" t="str">
        <x:v>site-28dd528f5f3a</x:v>
      </x:c>
      <x:c r="D193" s="21" t="str">
        <x:v>دير عمار</x:v>
      </x:c>
      <x:c r="E193" s="21" t="str">
        <x:v>رام الله والبيرة</x:v>
      </x:c>
      <x:c r="F193" s="21" t="str">
        <x:v>Origin of the 'Deir' name</x:v>
      </x:c>
      <x:c r="G193" s="21" t="n">
        <x:v>35</x:v>
      </x:c>
      <x:c r="H193" s="21" t="str">
        <x:v>P3_LONG_TAIL</x:v>
      </x:c>
      <x:c r="I193" s="21" t="str">
        <x:v>OTHER_SPECIALIST</x:v>
      </x:c>
      <x:c r="J193" s="21" t="str">
        <x:v>OPEN</x:v>
      </x:c>
      <x:c r="K193" s="27" t="b">
        <x:v>0</x:v>
      </x:c>
      <x:c r="L193" s="27" t="b">
        <x:v>0</x:v>
      </x:c>
      <x:c r="M193" s="21" t="str">
        <x:v>BLOCKED</x:v>
      </x:c>
      <x:c r="N193" s="21" t="str">
        <x:v>BLOCKED</x:v>
      </x:c>
    </x:row>
    <x:row r="194">
      <x:c r="A194" s="21" t="str">
        <x:v>HPR-186</x:v>
      </x:c>
      <x:c r="B194" s="21" t="str">
        <x:v>site-2a3fdab99250-W5-H01</x:v>
      </x:c>
      <x:c r="C194" s="21" t="str">
        <x:v>site-2a3fdab99250</x:v>
      </x:c>
      <x:c r="D194" s="21" t="str">
        <x:v>عين سامية</x:v>
      </x:c>
      <x:c r="E194" s="21" t="str">
        <x:v>رام الله والبيرة</x:v>
      </x:c>
      <x:c r="F194" s="21" t="str">
        <x:v>Complete site boundaries</x:v>
      </x:c>
      <x:c r="G194" s="21" t="n">
        <x:v>35</x:v>
      </x:c>
      <x:c r="H194" s="21" t="str">
        <x:v>P3_LONG_TAIL</x:v>
      </x:c>
      <x:c r="I194" s="21" t="str">
        <x:v>OTHER_SPECIALIST</x:v>
      </x:c>
      <x:c r="J194" s="21" t="str">
        <x:v>OPEN</x:v>
      </x:c>
      <x:c r="K194" s="27" t="b">
        <x:v>0</x:v>
      </x:c>
      <x:c r="L194" s="27" t="b">
        <x:v>0</x:v>
      </x:c>
      <x:c r="M194" s="21" t="str">
        <x:v>BLOCKED</x:v>
      </x:c>
      <x:c r="N194" s="21" t="str">
        <x:v>BLOCKED</x:v>
      </x:c>
    </x:row>
    <x:row r="195">
      <x:c r="A195" s="21" t="str">
        <x:v>HPR-188</x:v>
      </x:c>
      <x:c r="B195" s="21" t="str">
        <x:v>site-2a3fdab99250-W5-H03</x:v>
      </x:c>
      <x:c r="C195" s="21" t="str">
        <x:v>site-2a3fdab99250</x:v>
      </x:c>
      <x:c r="D195" s="21" t="str">
        <x:v>عين سامية</x:v>
      </x:c>
      <x:c r="E195" s="21" t="str">
        <x:v>رام الله والبيرة</x:v>
      </x:c>
      <x:c r="F195" s="21" t="str">
        <x:v>Exact relation between cemetery and nearby settlement</x:v>
      </x:c>
      <x:c r="G195" s="21" t="n">
        <x:v>35</x:v>
      </x:c>
      <x:c r="H195" s="21" t="str">
        <x:v>P3_LONG_TAIL</x:v>
      </x:c>
      <x:c r="I195" s="21" t="str">
        <x:v>OTHER_SPECIALIST</x:v>
      </x:c>
      <x:c r="J195" s="21" t="str">
        <x:v>OPEN</x:v>
      </x:c>
      <x:c r="K195" s="27" t="b">
        <x:v>0</x:v>
      </x:c>
      <x:c r="L195" s="27" t="b">
        <x:v>0</x:v>
      </x:c>
      <x:c r="M195" s="21" t="str">
        <x:v>BLOCKED</x:v>
      </x:c>
      <x:c r="N195" s="21" t="str">
        <x:v>BLOCKED</x:v>
      </x:c>
    </x:row>
    <x:row r="196">
      <x:c r="A196" s="21" t="str">
        <x:v>HPR-161</x:v>
      </x:c>
      <x:c r="B196" s="21" t="str">
        <x:v>site-ba91049d51a9-W4-H01</x:v>
      </x:c>
      <x:c r="C196" s="21" t="str">
        <x:v>site-ba91049d51a9</x:v>
      </x:c>
      <x:c r="D196" s="21" t="str">
        <x:v>عيون الماء الأثرية</x:v>
      </x:c>
      <x:c r="E196" s="21" t="str">
        <x:v>سلفيت</x:v>
      </x:c>
      <x:c r="F196" s="21" t="str">
        <x:v>Spring identities</x:v>
      </x:c>
      <x:c r="G196" s="21" t="n">
        <x:v>35</x:v>
      </x:c>
      <x:c r="H196" s="21" t="str">
        <x:v>P3_LONG_TAIL</x:v>
      </x:c>
      <x:c r="I196" s="21" t="str">
        <x:v>OTHER_SPECIALIST</x:v>
      </x:c>
      <x:c r="J196" s="21" t="str">
        <x:v>OPEN</x:v>
      </x:c>
      <x:c r="K196" s="27" t="b">
        <x:v>0</x:v>
      </x:c>
      <x:c r="L196" s="27" t="b">
        <x:v>0</x:v>
      </x:c>
      <x:c r="M196" s="21" t="str">
        <x:v>BLOCKED</x:v>
      </x:c>
      <x:c r="N196" s="21" t="str">
        <x:v>BLOCKED</x:v>
      </x:c>
    </x:row>
    <x:row r="197">
      <x:c r="A197" s="21" t="str">
        <x:v>HPR-175</x:v>
      </x:c>
      <x:c r="B197" s="21" t="str">
        <x:v>site-bc56c2f93d66-W4-H02</x:v>
      </x:c>
      <x:c r="C197" s="21" t="str">
        <x:v>site-bc56c2f93d66</x:v>
      </x:c>
      <x:c r="D197" s="21" t="str">
        <x:v>عين الفارعة</x:v>
      </x:c>
      <x:c r="E197" s="21" t="str">
        <x:v>طوباس</x:v>
      </x:c>
      <x:c r="F197" s="21" t="str">
        <x:v>Roman-period installations</x:v>
      </x:c>
      <x:c r="G197" s="21" t="n">
        <x:v>35</x:v>
      </x:c>
      <x:c r="H197" s="21" t="str">
        <x:v>P3_LONG_TAIL</x:v>
      </x:c>
      <x:c r="I197" s="21" t="str">
        <x:v>OTHER_SPECIALIST</x:v>
      </x:c>
      <x:c r="J197" s="21" t="str">
        <x:v>OPEN</x:v>
      </x:c>
      <x:c r="K197" s="27" t="b">
        <x:v>0</x:v>
      </x:c>
      <x:c r="L197" s="27" t="b">
        <x:v>0</x:v>
      </x:c>
      <x:c r="M197" s="21" t="str">
        <x:v>BLOCKED</x:v>
      </x:c>
      <x:c r="N197" s="21" t="str">
        <x:v>BLOCKED</x:v>
      </x:c>
    </x:row>
    <x:row r="198">
      <x:c r="A198" s="21" t="str">
        <x:v>HPR-176</x:v>
      </x:c>
      <x:c r="B198" s="21" t="str">
        <x:v>site-bc56c2f93d66-W4-H03</x:v>
      </x:c>
      <x:c r="C198" s="21" t="str">
        <x:v>site-bc56c2f93d66</x:v>
      </x:c>
      <x:c r="D198" s="21" t="str">
        <x:v>عين الفارعة</x:v>
      </x:c>
      <x:c r="E198" s="21" t="str">
        <x:v>طوباس</x:v>
      </x:c>
      <x:c r="F198" s="21" t="str">
        <x:v>Hydrological relation to Tell al-Far'ah</x:v>
      </x:c>
      <x:c r="G198" s="21" t="n">
        <x:v>35</x:v>
      </x:c>
      <x:c r="H198" s="21" t="str">
        <x:v>P3_LONG_TAIL</x:v>
      </x:c>
      <x:c r="I198" s="21" t="str">
        <x:v>OTHER_SPECIALIST</x:v>
      </x:c>
      <x:c r="J198" s="21" t="str">
        <x:v>OPEN</x:v>
      </x:c>
      <x:c r="K198" s="27" t="b">
        <x:v>0</x:v>
      </x:c>
      <x:c r="L198" s="27" t="b">
        <x:v>0</x:v>
      </x:c>
      <x:c r="M198" s="21" t="str">
        <x:v>BLOCKED</x:v>
      </x:c>
      <x:c r="N198" s="21" t="str">
        <x:v>BLOCKED</x:v>
      </x:c>
    </x:row>
    <x:row r="199">
      <x:c r="A199" s="21" t="str">
        <x:v>HPR-168</x:v>
      </x:c>
      <x:c r="B199" s="21" t="str">
        <x:v>site-c6731a990917-W4-H02</x:v>
      </x:c>
      <x:c r="C199" s="21" t="str">
        <x:v>site-c6731a990917</x:v>
      </x:c>
      <x:c r="D199" s="21" t="str">
        <x:v>تل الفارعة (المدينة الكنعانية)</x:v>
      </x:c>
      <x:c r="E199" s="21" t="str">
        <x:v>طوباس</x:v>
      </x:c>
      <x:c r="F199" s="21" t="str">
        <x:v>Tirzah identification</x:v>
      </x:c>
      <x:c r="G199" s="21" t="n">
        <x:v>35</x:v>
      </x:c>
      <x:c r="H199" s="21" t="str">
        <x:v>P3_LONG_TAIL</x:v>
      </x:c>
      <x:c r="I199" s="21" t="str">
        <x:v>RELIGIOUS_ATTRIBUTION_CONTESTED</x:v>
      </x:c>
      <x:c r="J199" s="21" t="str">
        <x:v>OPEN</x:v>
      </x:c>
      <x:c r="K199" s="27" t="b">
        <x:v>0</x:v>
      </x:c>
      <x:c r="L199" s="27" t="b">
        <x:v>0</x:v>
      </x:c>
      <x:c r="M199" s="21" t="str">
        <x:v>BLOCKED</x:v>
      </x:c>
      <x:c r="N199" s="21" t="str">
        <x:v>BLOCKED</x:v>
      </x:c>
    </x:row>
    <x:row r="200">
      <x:c r="A200" s="21" t="str">
        <x:v>HPR-082</x:v>
      </x:c>
      <x:c r="B200" s="21" t="str">
        <x:v>site-a77381cd3cae-W3-H03</x:v>
      </x:c>
      <x:c r="C200" s="21" t="str">
        <x:v>site-a77381cd3cae</x:v>
      </x:c>
      <x:c r="D200" s="21" t="str">
        <x:v>مقام الشيخ رضوان</x:v>
      </x:c>
      <x:c r="E200" s="21" t="str">
        <x:v>غزة</x:v>
      </x:c>
      <x:c r="F200" s="21" t="str">
        <x:v>Historical period</x:v>
      </x:c>
      <x:c r="G200" s="21" t="n">
        <x:v>35</x:v>
      </x:c>
      <x:c r="H200" s="21" t="str">
        <x:v>P3_LONG_TAIL</x:v>
      </x:c>
      <x:c r="I200" s="21" t="str">
        <x:v>OTHER_SPECIALIST</x:v>
      </x:c>
      <x:c r="J200" s="21" t="str">
        <x:v>OPEN</x:v>
      </x:c>
      <x:c r="K200" s="27" t="b">
        <x:v>0</x:v>
      </x:c>
      <x:c r="L200" s="27" t="b">
        <x:v>0</x:v>
      </x:c>
      <x:c r="M200" s="21" t="str">
        <x:v>BLOCKED</x:v>
      </x:c>
      <x:c r="N200" s="21" t="str">
        <x:v>BLOCKED</x:v>
      </x:c>
    </x:row>
    <x:row r="201">
      <x:c r="A201" s="21" t="str">
        <x:v>HPR-154</x:v>
      </x:c>
      <x:c r="B201" s="21" t="str">
        <x:v>site-a33c0a4f64fa-W4-H01</x:v>
      </x:c>
      <x:c r="C201" s="21" t="str">
        <x:v>site-a33c0a4f64fa</x:v>
      </x:c>
      <x:c r="D201" s="21" t="str">
        <x:v>مقام النبي يامين</x:v>
      </x:c>
      <x:c r="E201" s="21" t="str">
        <x:v>قلقيلية</x:v>
      </x:c>
      <x:c r="F201" s="21" t="str">
        <x:v>Burial attribution</x:v>
      </x:c>
      <x:c r="G201" s="21" t="n">
        <x:v>35</x:v>
      </x:c>
      <x:c r="H201" s="21" t="str">
        <x:v>P3_LONG_TAIL</x:v>
      </x:c>
      <x:c r="I201" s="21" t="str">
        <x:v>RELIGIOUS_ATTRIBUTION_CONTESTED</x:v>
      </x:c>
      <x:c r="J201" s="21" t="str">
        <x:v>OPEN</x:v>
      </x:c>
      <x:c r="K201" s="27" t="b">
        <x:v>0</x:v>
      </x:c>
      <x:c r="L201" s="27" t="b">
        <x:v>0</x:v>
      </x:c>
      <x:c r="M201" s="21" t="str">
        <x:v>BLOCKED</x:v>
      </x:c>
      <x:c r="N201" s="21" t="str">
        <x:v>BLOCKED</x:v>
      </x:c>
    </x:row>
    <x:row r="202">
      <x:c r="A202" s="21" t="str">
        <x:v>HPR-121</x:v>
      </x:c>
      <x:c r="B202" s="21" t="str">
        <x:v>site-fe1e2a1605b5-W4-H01</x:v>
      </x:c>
      <x:c r="C202" s="21" t="str">
        <x:v>site-fe1e2a1605b5</x:v>
      </x:c>
      <x:c r="D202" s="21" t="str">
        <x:v>قصر الكايد</x:v>
      </x:c>
      <x:c r="E202" s="21" t="str">
        <x:v>نابلس</x:v>
      </x:c>
      <x:c r="F202" s="21" t="str">
        <x:v>Whether a separate Jenin palace with the same name exists</x:v>
      </x:c>
      <x:c r="G202" s="21" t="n">
        <x:v>35</x:v>
      </x:c>
      <x:c r="H202" s="21" t="str">
        <x:v>P3_LONG_TAIL</x:v>
      </x:c>
      <x:c r="I202" s="21" t="str">
        <x:v>OTHER_SPECIALIST</x:v>
      </x:c>
      <x:c r="J202" s="21" t="str">
        <x:v>OPEN</x:v>
      </x:c>
      <x:c r="K202" s="27" t="b">
        <x:v>0</x:v>
      </x:c>
      <x:c r="L202" s="27" t="b">
        <x:v>0</x:v>
      </x:c>
      <x:c r="M202" s="21" t="str">
        <x:v>BLOCKED</x:v>
      </x:c>
      <x:c r="N202" s="21" t="str">
        <x:v>BLOCKED</x:v>
      </x:c>
    </x:row>
    <x:row r="203">
      <x:c r="A203" s="21" t="str">
        <x:v>HPR-122</x:v>
      </x:c>
      <x:c r="B203" s="21" t="str">
        <x:v>site-fe1e2a1605b5-W4-H02</x:v>
      </x:c>
      <x:c r="C203" s="21" t="str">
        <x:v>site-fe1e2a1605b5</x:v>
      </x:c>
      <x:c r="D203" s="21" t="str">
        <x:v>قصر الكايد</x:v>
      </x:c>
      <x:c r="E203" s="21" t="str">
        <x:v>نابلس</x:v>
      </x:c>
      <x:c r="F203" s="21" t="str">
        <x:v>Canonical reassignment decision</x:v>
      </x:c>
      <x:c r="G203" s="21" t="n">
        <x:v>35</x:v>
      </x:c>
      <x:c r="H203" s="21" t="str">
        <x:v>P3_LONG_TAIL</x:v>
      </x:c>
      <x:c r="I203" s="21" t="str">
        <x:v>OTHER_SPECIALIST</x:v>
      </x:c>
      <x:c r="J203" s="21" t="str">
        <x:v>OPEN</x:v>
      </x:c>
      <x:c r="K203" s="27" t="b">
        <x:v>0</x:v>
      </x:c>
      <x:c r="L203" s="27" t="b">
        <x:v>0</x:v>
      </x:c>
      <x:c r="M203" s="21" t="str">
        <x:v>BLOCKED</x:v>
      </x:c>
      <x:c r="N203" s="21" t="str">
        <x:v>BLOCKED</x:v>
      </x:c>
    </x:row>
    <x:row r="204">
      <x:c r="A204" s="21" t="str">
        <x:v>HPR-207</x:v>
      </x:c>
      <x:c r="B204" s="21" t="str">
        <x:v>site-7551f628d089-W5-H03</x:v>
      </x:c>
      <x:c r="C204" s="21" t="str">
        <x:v>site-7551f628d089</x:v>
      </x:c>
      <x:c r="D204" s="21" t="str">
        <x:v>قناة وادي القلط</x:v>
      </x:c>
      <x:c r="E204" s="21" t="str">
        <x:v>أريحا</x:v>
      </x:c>
      <x:c r="F204" s="21" t="str">
        <x:v>Later Islamic repairs</x:v>
      </x:c>
      <x:c r="G204" s="21" t="n">
        <x:v>20</x:v>
      </x:c>
      <x:c r="H204" s="21" t="str">
        <x:v>P3_LONG_TAIL</x:v>
      </x:c>
      <x:c r="I204" s="21" t="str">
        <x:v>OTHER_SPECIALIST</x:v>
      </x:c>
      <x:c r="J204" s="21" t="str">
        <x:v>OPEN</x:v>
      </x:c>
      <x:c r="K204" s="27" t="b">
        <x:v>0</x:v>
      </x:c>
      <x:c r="L204" s="27" t="b">
        <x:v>0</x:v>
      </x:c>
      <x:c r="M204" s="21" t="str">
        <x:v>BLOCKED</x:v>
      </x:c>
      <x:c r="N204" s="21" t="str">
        <x:v>BLOCKED</x:v>
      </x:c>
    </x:row>
    <x:row r="205">
      <x:c r="A205" s="21" t="str">
        <x:v>HPR-036</x:v>
      </x:c>
      <x:c r="B205" s="21" t="str">
        <x:v>site-6162b1da6edc-W2-H02</x:v>
      </x:c>
      <x:c r="C205" s="21" t="str">
        <x:v>site-6162b1da6edc</x:v>
      </x:c>
      <x:c r="D205" s="21" t="str">
        <x:v>عين سارة</x:v>
      </x:c>
      <x:c r="E205" s="21" t="str">
        <x:v>الخليل</x:v>
      </x:c>
      <x:c r="F205" s="21" t="str">
        <x:v>Hydrological history</x:v>
      </x:c>
      <x:c r="G205" s="21" t="n">
        <x:v>20</x:v>
      </x:c>
      <x:c r="H205" s="21" t="str">
        <x:v>P3_LONG_TAIL</x:v>
      </x:c>
      <x:c r="I205" s="21" t="str">
        <x:v>OTHER_SPECIALIST</x:v>
      </x:c>
      <x:c r="J205" s="21" t="str">
        <x:v>OPEN</x:v>
      </x:c>
      <x:c r="K205" s="27" t="b">
        <x:v>0</x:v>
      </x:c>
      <x:c r="L205" s="27" t="b">
        <x:v>0</x:v>
      </x:c>
      <x:c r="M205" s="21" t="str">
        <x:v>BLOCKED</x:v>
      </x:c>
      <x:c r="N205" s="21" t="str">
        <x:v>BLOCKED</x:v>
      </x:c>
    </x:row>
    <x:row r="206">
      <x:c r="A206" s="21" t="str">
        <x:v>HPR-027</x:v>
      </x:c>
      <x:c r="B206" s="21" t="str">
        <x:v>site-cd3be04163b6-W2-H01</x:v>
      </x:c>
      <x:c r="C206" s="21" t="str">
        <x:v>site-cd3be04163b6</x:v>
      </x:c>
      <x:c r="D206" s="21" t="str">
        <x:v>حلحول (مقام النبي يونس)</x:v>
      </x:c>
      <x:c r="E206" s="21" t="str">
        <x:v>الخليل</x:v>
      </x:c>
      <x:c r="F206" s="21" t="str">
        <x:v>Pre-Islamic tomb interpretation</x:v>
      </x:c>
      <x:c r="G206" s="21" t="n">
        <x:v>20</x:v>
      </x:c>
      <x:c r="H206" s="21" t="str">
        <x:v>P3_LONG_TAIL</x:v>
      </x:c>
      <x:c r="I206" s="21" t="str">
        <x:v>OTHER_SPECIALIST</x:v>
      </x:c>
      <x:c r="J206" s="21" t="str">
        <x:v>OPEN</x:v>
      </x:c>
      <x:c r="K206" s="27" t="b">
        <x:v>0</x:v>
      </x:c>
      <x:c r="L206" s="27" t="b">
        <x:v>0</x:v>
      </x:c>
      <x:c r="M206" s="21" t="str">
        <x:v>BLOCKED</x:v>
      </x:c>
      <x:c r="N206" s="21" t="str">
        <x:v>BLOCKED</x:v>
      </x:c>
    </x:row>
    <x:row r="207">
      <x:c r="A207" s="21" t="str">
        <x:v>HPR-048</x:v>
      </x:c>
      <x:c r="B207" s="21" t="str">
        <x:v>site-37c8be50ce73-W2-H03</x:v>
      </x:c>
      <x:c r="C207" s="21" t="str">
        <x:v>site-37c8be50ce73</x:v>
      </x:c>
      <x:c r="D207" s="21" t="str">
        <x:v>برك سليمان</x:v>
      </x:c>
      <x:c r="E207" s="21" t="str">
        <x:v>بيت لحم</x:v>
      </x:c>
      <x:c r="F207" s="21" t="str">
        <x:v>Ottoman archival history</x:v>
      </x:c>
      <x:c r="G207" s="21" t="n">
        <x:v>20</x:v>
      </x:c>
      <x:c r="H207" s="21" t="str">
        <x:v>P3_LONG_TAIL</x:v>
      </x:c>
      <x:c r="I207" s="21" t="str">
        <x:v>OTHER_SPECIALIST</x:v>
      </x:c>
      <x:c r="J207" s="21" t="str">
        <x:v>OPEN</x:v>
      </x:c>
      <x:c r="K207" s="27" t="b">
        <x:v>0</x:v>
      </x:c>
      <x:c r="L207" s="27" t="b">
        <x:v>0</x:v>
      </x:c>
      <x:c r="M207" s="21" t="str">
        <x:v>BLOCKED</x:v>
      </x:c>
      <x:c r="N207" s="21" t="str">
        <x:v>BLOCKED</x:v>
      </x:c>
    </x:row>
    <x:row r="208">
      <x:c r="A208" s="21" t="str">
        <x:v>HPR-052</x:v>
      </x:c>
      <x:c r="B208" s="21" t="str">
        <x:v>site-a8aeb054b451-W2-H02</x:v>
      </x:c>
      <x:c r="C208" s="21" t="str">
        <x:v>site-a8aeb054b451</x:v>
      </x:c>
      <x:c r="D208" s="21" t="str">
        <x:v>دير مار سابا</x:v>
      </x:c>
      <x:c r="E208" s="21" t="str">
        <x:v>بيت لحم</x:v>
      </x:c>
      <x:c r="F208" s="21" t="str">
        <x:v>Exact continuity claim and interruptions</x:v>
      </x:c>
      <x:c r="G208" s="21" t="n">
        <x:v>20</x:v>
      </x:c>
      <x:c r="H208" s="21" t="str">
        <x:v>P3_LONG_TAIL</x:v>
      </x:c>
      <x:c r="I208" s="21" t="str">
        <x:v>OTHER_SPECIALIST</x:v>
      </x:c>
      <x:c r="J208" s="21" t="str">
        <x:v>OPEN</x:v>
      </x:c>
      <x:c r="K208" s="27" t="b">
        <x:v>0</x:v>
      </x:c>
      <x:c r="L208" s="27" t="b">
        <x:v>0</x:v>
      </x:c>
      <x:c r="M208" s="21" t="str">
        <x:v>BLOCKED</x:v>
      </x:c>
      <x:c r="N208" s="21" t="str">
        <x:v>BLOCKED</x:v>
      </x:c>
    </x:row>
    <x:row r="209">
      <x:c r="A209" s="21" t="str">
        <x:v>HPR-124</x:v>
      </x:c>
      <x:c r="B209" s="21" t="str">
        <x:v>site-2c1f6b6dbd51-W4-H02</x:v>
      </x:c>
      <x:c r="C209" s="21" t="str">
        <x:v>site-2c1f6b6dbd51</x:v>
      </x:c>
      <x:c r="D209" s="21" t="str">
        <x:v>كنيسة برقين</x:v>
      </x:c>
      <x:c r="E209" s="21" t="str">
        <x:v>جنين</x:v>
      </x:c>
      <x:c r="F209" s="21" t="str">
        <x:v>Global age rank</x:v>
      </x:c>
      <x:c r="G209" s="21" t="n">
        <x:v>20</x:v>
      </x:c>
      <x:c r="H209" s="21" t="str">
        <x:v>P3_LONG_TAIL</x:v>
      </x:c>
      <x:c r="I209" s="21" t="str">
        <x:v>OTHER_SPECIALIST</x:v>
      </x:c>
      <x:c r="J209" s="21" t="str">
        <x:v>OPEN</x:v>
      </x:c>
      <x:c r="K209" s="27" t="b">
        <x:v>0</x:v>
      </x:c>
      <x:c r="L209" s="27" t="b">
        <x:v>0</x:v>
      </x:c>
      <x:c r="M209" s="21" t="str">
        <x:v>BLOCKED</x:v>
      </x:c>
      <x:c r="N209" s="21" t="str">
        <x:v>BLOCKED</x:v>
      </x:c>
    </x:row>
    <x:row r="210">
      <x:c r="A210" s="21" t="str">
        <x:v>HPR-128</x:v>
      </x:c>
      <x:c r="B210" s="21" t="str">
        <x:v>site-fc3cde18193c-W4-H03</x:v>
      </x:c>
      <x:c r="C210" s="21" t="str">
        <x:v>site-fc3cde18193c</x:v>
      </x:c>
      <x:c r="D210" s="21" t="str">
        <x:v>مقام الشيخ حسن</x:v>
      </x:c>
      <x:c r="E210" s="21" t="str">
        <x:v>جنين</x:v>
      </x:c>
      <x:c r="F210" s="21" t="str">
        <x:v>Period</x:v>
      </x:c>
      <x:c r="G210" s="21" t="n">
        <x:v>20</x:v>
      </x:c>
      <x:c r="H210" s="21" t="str">
        <x:v>P3_LONG_TAIL</x:v>
      </x:c>
      <x:c r="I210" s="21" t="str">
        <x:v>OTHER_SPECIALIST</x:v>
      </x:c>
      <x:c r="J210" s="21" t="str">
        <x:v>OPEN</x:v>
      </x:c>
      <x:c r="K210" s="27" t="b">
        <x:v>0</x:v>
      </x:c>
      <x:c r="L210" s="27" t="b">
        <x:v>0</x:v>
      </x:c>
      <x:c r="M210" s="21" t="str">
        <x:v>BLOCKED</x:v>
      </x:c>
      <x:c r="N210" s="21" t="str">
        <x:v>BLOCKED</x:v>
      </x:c>
    </x:row>
    <x:row r="211">
      <x:c r="A211" s="21" t="str">
        <x:v>HPR-136</x:v>
      </x:c>
      <x:c r="B211" s="21" t="str">
        <x:v>site-7a4bd929848c-W4-H04</x:v>
      </x:c>
      <x:c r="C211" s="21" t="str">
        <x:v>site-7a4bd929848c</x:v>
      </x:c>
      <x:c r="D211" s="21" t="str">
        <x:v>خربة برج العبد</x:v>
      </x:c>
      <x:c r="E211" s="21" t="str">
        <x:v>طولكرم</x:v>
      </x:c>
      <x:c r="F211" s="21" t="str">
        <x:v>Function</x:v>
      </x:c>
      <x:c r="G211" s="21" t="n">
        <x:v>20</x:v>
      </x:c>
      <x:c r="H211" s="21" t="str">
        <x:v>P3_LONG_TAIL</x:v>
      </x:c>
      <x:c r="I211" s="21" t="str">
        <x:v>OTHER_SPECIALIST</x:v>
      </x:c>
      <x:c r="J211" s="21" t="str">
        <x:v>OPEN</x:v>
      </x:c>
      <x:c r="K211" s="27" t="b">
        <x:v>0</x:v>
      </x:c>
      <x:c r="L211" s="27" t="b">
        <x:v>0</x:v>
      </x:c>
      <x:c r="M211" s="21" t="str">
        <x:v>BLOCKED</x:v>
      </x:c>
      <x:c r="N211" s="21" t="str">
        <x:v>BLOCKED</x:v>
      </x:c>
    </x:row>
    <x:row r="212">
      <x:c r="A212" s="21" t="str">
        <x:v>HPR-145</x:v>
      </x:c>
      <x:c r="B212" s="21" t="str">
        <x:v>site-95d241c30366-W4-H03</x:v>
      </x:c>
      <x:c r="C212" s="21" t="str">
        <x:v>site-95d241c30366</x:v>
      </x:c>
      <x:c r="D212" s="21" t="str">
        <x:v>مقام الشيخ شلتوت</x:v>
      </x:c>
      <x:c r="E212" s="21" t="str">
        <x:v>طولكرم</x:v>
      </x:c>
      <x:c r="F212" s="21" t="str">
        <x:v>Period</x:v>
      </x:c>
      <x:c r="G212" s="21" t="n">
        <x:v>20</x:v>
      </x:c>
      <x:c r="H212" s="21" t="str">
        <x:v>P3_LONG_TAIL</x:v>
      </x:c>
      <x:c r="I212" s="21" t="str">
        <x:v>OTHER_SPECIALIST</x:v>
      </x:c>
      <x:c r="J212" s="21" t="str">
        <x:v>OPEN</x:v>
      </x:c>
      <x:c r="K212" s="27" t="b">
        <x:v>0</x:v>
      </x:c>
      <x:c r="L212" s="27" t="b">
        <x:v>0</x:v>
      </x:c>
      <x:c r="M212" s="21" t="str">
        <x:v>BLOCKED</x:v>
      </x:c>
      <x:c r="N212" s="21" t="str">
        <x:v>BLOCKED</x:v>
      </x:c>
    </x:row>
  </x:sheetData>
  <x:pageMargins left="0.7" right="0.7" top="0.75" bottom="0.75" header="0.3" footer="0.3"/>
  <x:tableParts count="1">
    <x:tablePart xmlns:r="http://schemas.openxmlformats.org/officeDocument/2006/relationships" r:id="R4743598fc8b448ed"/>
  </x:tableParts>
</x:worksheet>
</file>

<file path=xl/worksheets/sheet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26" hidden="0" customWidth="1"/>
    <x:col min="6" max="6" width="18" hidden="0" customWidth="1"/>
    <x:col min="7" max="7" width="18" hidden="0" customWidth="1"/>
    <x:col min="8" max="8" width="18" hidden="0" customWidth="1"/>
    <x:col min="9" max="9" width="26" hidden="0" customWidth="1"/>
    <x:col min="10" max="10" width="26" hidden="0" customWidth="1"/>
    <x:col min="11" max="11" width="18" hidden="0" customWidth="1"/>
  </x:cols>
  <x:sheetData>
    <x:row r="1">
      <x:c r="A1" s="14" t="str">
        <x:v>relation_id</x:v>
      </x:c>
      <x:c r="B1" s="14" t="str">
        <x:v>decision_id</x:v>
      </x:c>
      <x:c r="C1" s="14" t="str">
        <x:v>source_site_id</x:v>
      </x:c>
      <x:c r="D1" s="14" t="str">
        <x:v>source_slug</x:v>
      </x:c>
      <x:c r="E1" s="14" t="str">
        <x:v>source_name_ar</x:v>
      </x:c>
      <x:c r="F1" s="14" t="str">
        <x:v>relation_type</x:v>
      </x:c>
      <x:c r="G1" s="14" t="str">
        <x:v>target_site_id</x:v>
      </x:c>
      <x:c r="H1" s="14" t="str">
        <x:v>target_slug</x:v>
      </x:c>
      <x:c r="I1" s="14" t="str">
        <x:v>target_name_ar</x:v>
      </x:c>
      <x:c r="J1" s="14" t="str">
        <x:v>status</x:v>
      </x:c>
      <x:c r="K1" s="14" t="str">
        <x:v>auto_applied_to_project</x:v>
      </x:c>
    </x:row>
    <x:row r="2">
      <x:c r="A2" s="21" t="str">
        <x:v>REL-CAND-001</x:v>
      </x:c>
      <x:c r="B2" s="21" t="str">
        <x:v>HID-007</x:v>
      </x:c>
      <x:c r="C2" s="21" t="str">
        <x:v>site-0dc57168d963</x:v>
      </x:c>
      <x:c r="D2" s="21" t="str">
        <x:v>mgr-lbtrk-jz-mn-lhrm-0dc571</x:v>
      </x:c>
      <x:c r="E2" s="21" t="str">
        <x:v>مغارة البطاركة (جزء من الحرم)</x:v>
      </x:c>
      <x:c r="F2" s="21" t="str">
        <x:v>COMPONENT_OF</x:v>
      </x:c>
      <x:c r="G2" s="21" t="str">
        <x:v>site-899e38be070d</x:v>
      </x:c>
      <x:c r="H2" s="21" t="str">
        <x:v>lhrm-lbrhymy-899e38</x:v>
      </x:c>
      <x:c r="I2" s="21" t="str">
        <x:v>الحرم الإبراهيمي</x:v>
      </x:c>
      <x:c r="J2" s="21" t="str">
        <x:v>APPROVED_FOR_CANDIDATE_ONLY</x:v>
      </x:c>
      <x:c r="K2" s="27" t="b">
        <x:v>0</x:v>
      </x:c>
    </x:row>
    <x:row r="3">
      <x:c r="A3" s="21" t="str">
        <x:v>REL-CAND-002</x:v>
      </x:c>
      <x:c r="B3" s="21" t="str">
        <x:v>HID-008</x:v>
      </x:c>
      <x:c r="C3" s="21" t="str">
        <x:v>site-63fe9eba7871</x:v>
      </x:c>
      <x:c r="D3" s="21" t="str">
        <x:v>ql-lbrk-63fe9e</x:v>
      </x:c>
      <x:c r="E3" s="21" t="str">
        <x:v>قلعة البرك</x:v>
      </x:c>
      <x:c r="F3" s="21" t="str">
        <x:v>COMPONENT_OF</x:v>
      </x:c>
      <x:c r="G3" s="21" t="str">
        <x:v>site-37c8be50ce73</x:v>
      </x:c>
      <x:c r="H3" s="21" t="str">
        <x:v>brk-slymn-37c8be</x:v>
      </x:c>
      <x:c r="I3" s="21" t="str">
        <x:v>برك سليمان</x:v>
      </x:c>
      <x:c r="J3" s="21" t="str">
        <x:v>APPROVED_FOR_CANDIDATE_ONLY</x:v>
      </x:c>
      <x:c r="K3" s="27" t="b">
        <x:v>0</x:v>
      </x:c>
    </x:row>
    <x:row r="4">
      <x:c r="A4" s="21" t="str">
        <x:v>REL-CAND-003</x:v>
      </x:c>
      <x:c r="B4" s="21" t="str">
        <x:v>HID-016</x:v>
      </x:c>
      <x:c r="C4" s="21" t="str">
        <x:v>site-160c60c7b952</x:v>
      </x:c>
      <x:c r="D4" s="21" t="str">
        <x:v>hr-lysmyn-160c60</x:v>
      </x:c>
      <x:c r="E4" s="21" t="str">
        <x:v>حارة الياسمينة</x:v>
      </x:c>
      <x:c r="F4" s="21" t="str">
        <x:v>COMPONENT_OF</x:v>
      </x:c>
      <x:c r="G4" s="21" t="str">
        <x:v>site-a9ac192e20c3</x:v>
      </x:c>
      <x:c r="H4" s="21" t="str">
        <x:v>bld-nbls-lqdym-a9ac19</x:v>
      </x:c>
      <x:c r="I4" s="21" t="str">
        <x:v>بلدة نابلس القديمة</x:v>
      </x:c>
      <x:c r="J4" s="21" t="str">
        <x:v>APPROVED_FOR_CANDIDATE_ONLY</x:v>
      </x:c>
      <x:c r="K4" s="27" t="b">
        <x:v>0</x:v>
      </x:c>
    </x:row>
    <x:row r="5">
      <x:c r="A5" s="21" t="str">
        <x:v>REL-CAND-004</x:v>
      </x:c>
      <x:c r="B5" s="21" t="str">
        <x:v>HID-017</x:v>
      </x:c>
      <x:c r="C5" s="21" t="str">
        <x:v>site-31c7667ff10e</x:v>
      </x:c>
      <x:c r="D5" s="21" t="str">
        <x:v>khn-ltjr-31c766</x:v>
      </x:c>
      <x:c r="E5" s="21" t="str">
        <x:v>خان التجار</x:v>
      </x:c>
      <x:c r="F5" s="21" t="str">
        <x:v>COMPONENT_OF</x:v>
      </x:c>
      <x:c r="G5" s="21" t="str">
        <x:v>site-a9ac192e20c3</x:v>
      </x:c>
      <x:c r="H5" s="21" t="str">
        <x:v>bld-nbls-lqdym-a9ac19</x:v>
      </x:c>
      <x:c r="I5" s="21" t="str">
        <x:v>بلدة نابلس القديمة</x:v>
      </x:c>
      <x:c r="J5" s="21" t="str">
        <x:v>APPROVED_FOR_CANDIDATE_ONLY</x:v>
      </x:c>
      <x:c r="K5" s="27" t="b">
        <x:v>0</x:v>
      </x:c>
    </x:row>
    <x:row r="6">
      <x:c r="A6" s="21" t="str">
        <x:v>REL-CAND-005</x:v>
      </x:c>
      <x:c r="B6" s="21" t="str">
        <x:v>HID-020</x:v>
      </x:c>
      <x:c r="C6" s="21" t="str">
        <x:v>site-fe1e2a1605b5</x:v>
      </x:c>
      <x:c r="D6" s="21" t="str">
        <x:v>qsr-lkyd-fe1e2a</x:v>
      </x:c>
      <x:c r="E6" s="21" t="str">
        <x:v>قصر الكايد</x:v>
      </x:c>
      <x:c r="F6" s="21" t="str">
        <x:v>COMPONENT_OF</x:v>
      </x:c>
      <x:c r="G6" s="21" t="str">
        <x:v>site-6f6afe87f969</x:v>
      </x:c>
      <x:c r="H6" s="21" t="str">
        <x:v>sbsty-shmrwn-6f6afe</x:v>
      </x:c>
      <x:c r="I6" s="21" t="str">
        <x:v>سبسطية (شمرون)</x:v>
      </x:c>
      <x:c r="J6" s="21" t="str">
        <x:v>APPROVED_FOR_CANDIDATE_ONLY</x:v>
      </x:c>
      <x:c r="K6" s="27" t="b">
        <x:v>0</x:v>
      </x:c>
    </x:row>
    <x:row r="7">
      <x:c r="A7" s="21" t="str">
        <x:v>REL-CAND-006</x:v>
      </x:c>
      <x:c r="B7" s="21" t="str">
        <x:v>HID-031</x:v>
      </x:c>
      <x:c r="C7" s="21" t="str">
        <x:v>site-b5f00132ee24</x:v>
      </x:c>
      <x:c r="D7" s="21" t="str">
        <x:v>yn-lsltn-b5f001</x:v>
      </x:c>
      <x:c r="E7" s="21" t="str">
        <x:v>عين السلطان</x:v>
      </x:c>
      <x:c r="F7" s="21" t="str">
        <x:v>COMPONENT_OF</x:v>
      </x:c>
      <x:c r="G7" s="21" t="str">
        <x:v>site-a86fc049d470</x:v>
      </x:c>
      <x:c r="H7" s="21" t="str">
        <x:v>tl-lsltn-ryh-lqdym-a86fc0</x:v>
      </x:c>
      <x:c r="I7" s="21" t="str">
        <x:v>تل السلطان (أريحا القديمة)</x:v>
      </x:c>
      <x:c r="J7" s="21" t="str">
        <x:v>APPROVED_FOR_CANDIDATE_ONLY</x:v>
      </x:c>
      <x:c r="K7" s="27" t="b">
        <x:v>0</x:v>
      </x:c>
    </x:row>
    <x:row r="8">
      <x:c r="A8" s="21" t="str">
        <x:v>REL-CAND-007</x:v>
      </x:c>
      <x:c r="B8" s="21" t="str">
        <x:v>HID-032</x:v>
      </x:c>
      <x:c r="C8" s="21" t="str">
        <x:v>site-ce23c41d7641</x:v>
      </x:c>
      <x:c r="D8" s="21" t="str">
        <x:v>qbr-lnby-mws-ce23c4</x:v>
      </x:c>
      <x:c r="E8" s="21" t="str">
        <x:v>قبر النبي موسى</x:v>
      </x:c>
      <x:c r="F8" s="21" t="str">
        <x:v>COMPONENT_OR_ALIAS_OF</x:v>
      </x:c>
      <x:c r="G8" s="21" t="str">
        <x:v>site-c4d8c9fdd1f0</x:v>
      </x:c>
      <x:c r="H8" s="21" t="str">
        <x:v>mqm-lnby-mws-c4d8c9</x:v>
      </x:c>
      <x:c r="I8" s="21" t="str">
        <x:v>مقام النبي موسى</x:v>
      </x:c>
      <x:c r="J8" s="21" t="str">
        <x:v>APPROVED_FOR_CANDIDATE_ONLY</x:v>
      </x:c>
      <x:c r="K8" s="27" t="b">
        <x:v>0</x:v>
      </x:c>
    </x:row>
    <x:row r="9">
      <x:c r="A9" s="21" t="str">
        <x:v>REL-CAND-008</x:v>
      </x:c>
      <x:c r="B9" s="21" t="str">
        <x:v>HID-009</x:v>
      </x:c>
      <x:c r="C9" s="21" t="str">
        <x:v>site-21150eefdea6</x:v>
      </x:c>
      <x:c r="D9" s="21" t="str">
        <x:v>tl-l-jwl-mdyn-gz-lqdym-21150e</x:v>
      </x:c>
      <x:c r="E9" s="21" t="str">
        <x:v>تل العجول (مدينة غزة القديمة)</x:v>
      </x:c>
      <x:c r="F9" s="21" t="str">
        <x:v>NOT_SAME_AS</x:v>
      </x:c>
      <x:c r="G9" s="21" t="str">
        <x:v>site-015f495c4236</x:v>
      </x:c>
      <x:c r="H9" s="21" t="str">
        <x:v>mdyn-gz-lqdym-015f49</x:v>
      </x:c>
      <x:c r="I9" s="21" t="str">
        <x:v>مدينة غزة القديمة</x:v>
      </x:c>
      <x:c r="J9" s="21" t="str">
        <x:v>APPROVED_FOR_CANDIDATE_ONLY</x:v>
      </x:c>
      <x:c r="K9" s="27" t="b">
        <x:v>0</x:v>
      </x:c>
    </x:row>
    <x:row r="10">
      <x:c r="A10" s="21" t="str">
        <x:v>REL-CAND-009</x:v>
      </x:c>
      <x:c r="B10" s="21" t="str">
        <x:v>HID-010</x:v>
      </x:c>
      <x:c r="C10" s="21" t="str">
        <x:v>site-5e98cf44d976</x:v>
      </x:c>
      <x:c r="D10" s="21" t="str">
        <x:v>ql-brqwq-5e98cf</x:v>
      </x:c>
      <x:c r="E10" s="21" t="str">
        <x:v>قلعة برقوق</x:v>
      </x:c>
      <x:c r="F10" s="21" t="str">
        <x:v>COMPONENT_OF</x:v>
      </x:c>
      <x:c r="G10" s="21" t="str">
        <x:v>site-0a78d22c1a69</x:v>
      </x:c>
      <x:c r="H10" s="21" t="str">
        <x:v>khn-ywns-lqdym-0a78d2</x:v>
      </x:c>
      <x:c r="I10" s="21" t="str">
        <x:v>خان يونس القديم</x:v>
      </x:c>
      <x:c r="J10" s="21" t="str">
        <x:v>APPROVED_FOR_CANDIDATE_ONLY</x:v>
      </x:c>
      <x:c r="K10" s="27" t="b">
        <x:v>0</x:v>
      </x:c>
    </x:row>
  </x:sheetData>
  <x:pageMargins left="0.7" right="0.7" top="0.75" bottom="0.75" header="0.3" footer="0.3"/>
  <x:tableParts count="1">
    <x:tablePart xmlns:r="http://schemas.openxmlformats.org/officeDocument/2006/relationships" r:id="R93401077193b450a"/>
  </x:tableParts>
</x:worksheet>
</file>

<file path=xl/worksheets/sheet7.xml><?xml version="1.0" encoding="utf-8"?>
<x:worksheet xmlns:x="http://schemas.openxmlformats.org/spreadsheetml/2006/main">
  <x:sheetFormatPr defaultRowHeight="15"/>
  <x:cols>
    <x:col min="1" max="1" width="18" hidden="0" customWidth="1"/>
    <x:col min="2" max="2" width="18" hidden="0" customWidth="1"/>
    <x:col min="3" max="3" width="26" hidden="0" customWidth="1"/>
    <x:col min="4" max="4" width="18" hidden="0" customWidth="1"/>
    <x:col min="5" max="5" width="18" hidden="0" customWidth="1"/>
    <x:col min="6" max="6" width="26" hidden="0" customWidth="1"/>
    <x:col min="7" max="7" width="18" hidden="0" customWidth="1"/>
    <x:col min="8" max="8" width="38" hidden="0" customWidth="1"/>
    <x:col min="9" max="9" width="18" hidden="0" customWidth="1"/>
  </x:cols>
  <x:sheetData>
    <x:row r="1">
      <x:c r="A1" s="14" t="str">
        <x:v>canonical_site_id</x:v>
      </x:c>
      <x:c r="B1" s="14" t="str">
        <x:v>canonical_slug</x:v>
      </x:c>
      <x:c r="C1" s="14" t="str">
        <x:v>name_ar</x:v>
      </x:c>
      <x:c r="D1" s="14" t="str">
        <x:v>canonical_latitude</x:v>
      </x:c>
      <x:c r="E1" s="14" t="str">
        <x:v>canonical_longitude</x:v>
      </x:c>
      <x:c r="F1" s="14" t="str">
        <x:v>canonical_coordinate_status</x:v>
      </x:c>
      <x:c r="G1" s="14" t="str">
        <x:v>canonical_value_mutated</x:v>
      </x:c>
      <x:c r="H1" s="14" t="str">
        <x:v>external_candidates</x:v>
      </x:c>
      <x:c r="I1" s="14" t="str">
        <x:v>direct_map_use</x:v>
      </x:c>
    </x:row>
    <x:row r="2">
      <x:c r="A2" s="21" t="str">
        <x:v>site-4aeec5656d1d</x:v>
      </x:c>
      <x:c r="B2" s="21" t="str">
        <x:v>lmsjd-l-qs-lmbrk-lhrm-lqdsy-lshryf-4aeec5</x:v>
      </x:c>
      <x:c r="C2" s="21" t="str">
        <x:v>المسجد الأقصى المبارك / الحرم القدسي الشريف</x:v>
      </x:c>
      <x:c r="D2" s="21"/>
      <x:c r="E2" s="21"/>
      <x:c r="F2" s="21" t="str">
        <x:v>needs_geospatial_verification</x:v>
      </x:c>
      <x:c r="G2" s="27" t="b">
        <x:v>0</x:v>
      </x:c>
      <x:c r="H2" s="21" t="str">
        <x:v>[]</x:v>
      </x:c>
      <x:c r="I2" s="21" t="str">
        <x:v>BLOCKED</x:v>
      </x:c>
    </x:row>
    <x:row r="3">
      <x:c r="A3" s="21" t="str">
        <x:v>site-f9df0c7e708c</x:v>
      </x:c>
      <x:c r="B3" s="21" t="str">
        <x:v>bld-slwn-f9df0c</x:v>
      </x:c>
      <x:c r="C3" s="21" t="str">
        <x:v>بلدة سلوان</x:v>
      </x:c>
      <x:c r="D3" s="21"/>
      <x:c r="E3" s="21"/>
      <x:c r="F3" s="21" t="str">
        <x:v>needs_geospatial_verification</x:v>
      </x:c>
      <x:c r="G3" s="27" t="b">
        <x:v>0</x:v>
      </x:c>
      <x:c r="H3" s="21" t="str">
        <x:v>[]</x:v>
      </x:c>
      <x:c r="I3" s="21" t="str">
        <x:v>BLOCKED</x:v>
      </x:c>
    </x:row>
    <x:row r="4">
      <x:c r="A4" s="21" t="str">
        <x:v>site-f9067873c322</x:v>
      </x:c>
      <x:c r="B4" s="21" t="str">
        <x:v>hy-t-lbrq-f90678</x:v>
      </x:c>
      <x:c r="C4" s="21" t="str">
        <x:v>حائط البراق</x:v>
      </x:c>
      <x:c r="D4" s="21"/>
      <x:c r="E4" s="21"/>
      <x:c r="F4" s="21" t="str">
        <x:v>needs_geospatial_verification</x:v>
      </x:c>
      <x:c r="G4" s="27" t="b">
        <x:v>0</x:v>
      </x:c>
      <x:c r="H4" s="21" t="str">
        <x:v>[]</x:v>
      </x:c>
      <x:c r="I4" s="21" t="str">
        <x:v>BLOCKED</x:v>
      </x:c>
    </x:row>
    <x:row r="5">
      <x:c r="A5" s="21" t="str">
        <x:v>site-9b42bff63df0</x:v>
      </x:c>
      <x:c r="B5" s="21" t="str">
        <x:v>khn-ljwbr-9b42bf</x:v>
      </x:c>
      <x:c r="C5" s="21" t="str">
        <x:v>خان الجوابرة</x:v>
      </x:c>
      <x:c r="D5" s="21"/>
      <x:c r="E5" s="21"/>
      <x:c r="F5" s="21" t="str">
        <x:v>needs_geospatial_verification</x:v>
      </x:c>
      <x:c r="G5" s="27" t="b">
        <x:v>0</x:v>
      </x:c>
      <x:c r="H5" s="21" t="str">
        <x:v>[]</x:v>
      </x:c>
      <x:c r="I5" s="21" t="str">
        <x:v>BLOCKED</x:v>
      </x:c>
    </x:row>
    <x:row r="6">
      <x:c r="A6" s="21" t="str">
        <x:v>site-4bbdf07d8d66</x:v>
      </x:c>
      <x:c r="B6" s="21" t="str">
        <x:v>swq-lqtnyn-4bbdf0</x:v>
      </x:c>
      <x:c r="C6" s="21" t="str">
        <x:v>سوق القطانين</x:v>
      </x:c>
      <x:c r="D6" s="21"/>
      <x:c r="E6" s="21"/>
      <x:c r="F6" s="21" t="str">
        <x:v>needs_geospatial_verification</x:v>
      </x:c>
      <x:c r="G6" s="27" t="b">
        <x:v>0</x:v>
      </x:c>
      <x:c r="H6" s="21" t="str">
        <x:v>[]</x:v>
      </x:c>
      <x:c r="I6" s="21" t="str">
        <x:v>BLOCKED</x:v>
      </x:c>
    </x:row>
    <x:row r="7">
      <x:c r="A7" s="21" t="str">
        <x:v>site-8d297f3c37a9</x:v>
      </x:c>
      <x:c r="B7" s="21" t="str">
        <x:v>qbr-lsyd-mrym-mgr-ljsmny-8d297f</x:v>
      </x:c>
      <x:c r="C7" s="21" t="str">
        <x:v>قبر السيدة مريم (مغارة الجسمانية)</x:v>
      </x:c>
      <x:c r="D7" s="21"/>
      <x:c r="E7" s="21"/>
      <x:c r="F7" s="21" t="str">
        <x:v>needs_geospatial_verification</x:v>
      </x:c>
      <x:c r="G7" s="27" t="b">
        <x:v>0</x:v>
      </x:c>
      <x:c r="H7" s="21" t="str">
        <x:v>[]</x:v>
      </x:c>
      <x:c r="I7" s="21" t="str">
        <x:v>BLOCKED</x:v>
      </x:c>
    </x:row>
    <x:row r="8">
      <x:c r="A8" s="21" t="str">
        <x:v>site-f7553f79288f</x:v>
      </x:c>
      <x:c r="B8" s="21" t="str">
        <x:v>qswr-lmmlyk-shr-lwd-f7553f</x:v>
      </x:c>
      <x:c r="C8" s="21" t="str">
        <x:v>قصور المماليك (شارع الواد)</x:v>
      </x:c>
      <x:c r="D8" s="21"/>
      <x:c r="E8" s="21"/>
      <x:c r="F8" s="21" t="str">
        <x:v>needs_geospatial_verification</x:v>
      </x:c>
      <x:c r="G8" s="27" t="b">
        <x:v>0</x:v>
      </x:c>
      <x:c r="H8" s="21" t="str">
        <x:v>[]</x:v>
      </x:c>
      <x:c r="I8" s="21" t="str">
        <x:v>BLOCKED</x:v>
      </x:c>
    </x:row>
    <x:row r="9">
      <x:c r="A9" s="21" t="str">
        <x:v>site-83d3025c4675</x:v>
      </x:c>
      <x:c r="B9" s="21" t="str">
        <x:v>ql-lqds-brj-dwd-83d302</x:v>
      </x:c>
      <x:c r="C9" s="21" t="str">
        <x:v>قلعة القدس (برج داود)</x:v>
      </x:c>
      <x:c r="D9" s="21"/>
      <x:c r="E9" s="21"/>
      <x:c r="F9" s="21" t="str">
        <x:v>needs_geospatial_verification</x:v>
      </x:c>
      <x:c r="G9" s="27" t="b">
        <x:v>0</x:v>
      </x:c>
      <x:c r="H9" s="21" t="str">
        <x:v>[]</x:v>
      </x:c>
      <x:c r="I9" s="21" t="str">
        <x:v>BLOCKED</x:v>
      </x:c>
    </x:row>
    <x:row r="10">
      <x:c r="A10" s="21" t="str">
        <x:v>site-431ed266867b</x:v>
      </x:c>
      <x:c r="B10" s="21" t="str">
        <x:v>knys-lqym-431ed2</x:v>
      </x:c>
      <x:c r="C10" s="21" t="str">
        <x:v>كنيسة القيامة</x:v>
      </x:c>
      <x:c r="D10" s="21"/>
      <x:c r="E10" s="21"/>
      <x:c r="F10" s="21" t="str">
        <x:v>needs_geospatial_verification</x:v>
      </x:c>
      <x:c r="G10" s="27" t="b">
        <x:v>0</x:v>
      </x:c>
      <x:c r="H10" s="21" t="str">
        <x:v>[]</x:v>
      </x:c>
      <x:c r="I10" s="21" t="str">
        <x:v>BLOCKED</x:v>
      </x:c>
    </x:row>
    <x:row r="11">
      <x:c r="A11" s="21" t="str">
        <x:v>site-3a3d3669f0ba</x:v>
      </x:c>
      <x:c r="B11" s="21" t="str">
        <x:v>mqm-lnby-dwwd-jbl-shywn-3a3d36</x:v>
      </x:c>
      <x:c r="C11" s="21" t="str">
        <x:v>مقام النبي داوود (جبل صهيون)</x:v>
      </x:c>
      <x:c r="D11" s="21"/>
      <x:c r="E11" s="21"/>
      <x:c r="F11" s="21" t="str">
        <x:v>needs_geospatial_verification</x:v>
      </x:c>
      <x:c r="G11" s="27" t="b">
        <x:v>0</x:v>
      </x:c>
      <x:c r="H11" s="21" t="str">
        <x:v>[]</x:v>
      </x:c>
      <x:c r="I11" s="21" t="str">
        <x:v>BLOCKED</x:v>
      </x:c>
    </x:row>
    <x:row r="12">
      <x:c r="A12" s="21" t="str">
        <x:v>site-899e38be070d</x:v>
      </x:c>
      <x:c r="B12" s="21" t="str">
        <x:v>lhrm-lbrhymy-899e38</x:v>
      </x:c>
      <x:c r="C12" s="21" t="str">
        <x:v>الحرم الإبراهيمي</x:v>
      </x:c>
      <x:c r="D12" s="21"/>
      <x:c r="E12" s="21"/>
      <x:c r="F12" s="21" t="str">
        <x:v>needs_geospatial_verification</x:v>
      </x:c>
      <x:c r="G12" s="27" t="b">
        <x:v>0</x:v>
      </x:c>
      <x:c r="H12" s="21" t="str">
        <x:v>[]</x:v>
      </x:c>
      <x:c r="I12" s="21" t="str">
        <x:v>BLOCKED</x:v>
      </x:c>
    </x:row>
    <x:row r="13">
      <x:c r="A13" s="21" t="str">
        <x:v>site-6b6c5a396756</x:v>
      </x:c>
      <x:c r="B13" s="21" t="str">
        <x:v>bld-lkhlyl-lqdym-6b6c5a</x:v>
      </x:c>
      <x:c r="C13" s="21" t="str">
        <x:v>بلدة الخليل القديمة</x:v>
      </x:c>
      <x:c r="D13" s="21"/>
      <x:c r="E13" s="21"/>
      <x:c r="F13" s="21" t="str">
        <x:v>needs_geospatial_verification</x:v>
      </x:c>
      <x:c r="G13" s="27" t="b">
        <x:v>0</x:v>
      </x:c>
      <x:c r="H13" s="21" t="str">
        <x:v>[]</x:v>
      </x:c>
      <x:c r="I13" s="21" t="str">
        <x:v>BLOCKED</x:v>
      </x:c>
    </x:row>
    <x:row r="14">
      <x:c r="A14" s="21" t="str">
        <x:v>site-f60be7cd7d5e</x:v>
      </x:c>
      <x:c r="B14" s="21" t="str">
        <x:v>byt-mr-khrb-lnby-mt-f60be7</x:v>
      </x:c>
      <x:c r="C14" s="21" t="str">
        <x:v>بيت أمر (خربة النبي متى)</x:v>
      </x:c>
      <x:c r="D14" s="21"/>
      <x:c r="E14" s="21"/>
      <x:c r="F14" s="21" t="str">
        <x:v>needs_geospatial_verification</x:v>
      </x:c>
      <x:c r="G14" s="27" t="b">
        <x:v>0</x:v>
      </x:c>
      <x:c r="H14" s="21" t="str">
        <x:v>[]</x:v>
      </x:c>
      <x:c r="I14" s="21" t="str">
        <x:v>BLOCKED</x:v>
      </x:c>
    </x:row>
    <x:row r="15">
      <x:c r="A15" s="21" t="str">
        <x:v>site-63c0ba59c24e</x:v>
      </x:c>
      <x:c r="B15" s="21" t="str">
        <x:v>tl-lrmyd-63c0ba</x:v>
      </x:c>
      <x:c r="C15" s="21" t="str">
        <x:v>تل الرميدة</x:v>
      </x:c>
      <x:c r="D15" s="21"/>
      <x:c r="E15" s="21"/>
      <x:c r="F15" s="21" t="str">
        <x:v>needs_geospatial_verification</x:v>
      </x:c>
      <x:c r="G15" s="27" t="b">
        <x:v>0</x:v>
      </x:c>
      <x:c r="H15" s="21" t="str">
        <x:v>[]</x:v>
      </x:c>
      <x:c r="I15" s="21" t="str">
        <x:v>BLOCKED</x:v>
      </x:c>
    </x:row>
    <x:row r="16">
      <x:c r="A16" s="21" t="str">
        <x:v>site-cd3be04163b6</x:v>
      </x:c>
      <x:c r="B16" s="21" t="str">
        <x:v>hlhwl-mqm-lnby-ywns-cd3be0</x:v>
      </x:c>
      <x:c r="C16" s="21" t="str">
        <x:v>حلحول (مقام النبي يونس)</x:v>
      </x:c>
      <x:c r="D16" s="21"/>
      <x:c r="E16" s="21"/>
      <x:c r="F16" s="21" t="str">
        <x:v>needs_geospatial_verification</x:v>
      </x:c>
      <x:c r="G16" s="27" t="b">
        <x:v>0</x:v>
      </x:c>
      <x:c r="H16" s="21" t="str">
        <x:v>[]</x:v>
      </x:c>
      <x:c r="I16" s="21" t="str">
        <x:v>BLOCKED</x:v>
      </x:c>
    </x:row>
    <x:row r="17">
      <x:c r="A17" s="21" t="str">
        <x:v>site-2310c1600481</x:v>
      </x:c>
      <x:c r="B17" s="21" t="str">
        <x:v>khn-lhtb-2310c1</x:v>
      </x:c>
      <x:c r="C17" s="21" t="str">
        <x:v>خان الحطب</x:v>
      </x:c>
      <x:c r="D17" s="21"/>
      <x:c r="E17" s="21"/>
      <x:c r="F17" s="21" t="str">
        <x:v>needs_geospatial_verification</x:v>
      </x:c>
      <x:c r="G17" s="27" t="b">
        <x:v>0</x:v>
      </x:c>
      <x:c r="H17" s="21" t="str">
        <x:v>[]</x:v>
      </x:c>
      <x:c r="I17" s="21" t="str">
        <x:v>BLOCKED</x:v>
      </x:c>
    </x:row>
    <x:row r="18">
      <x:c r="A18" s="21" t="str">
        <x:v>site-c9ac723c0271</x:v>
      </x:c>
      <x:c r="B18" s="21" t="str">
        <x:v>khrb-lnby-nwh-c9ac72</x:v>
      </x:c>
      <x:c r="C18" s="21" t="str">
        <x:v>خربة النبي نوح</x:v>
      </x:c>
      <x:c r="D18" s="21"/>
      <x:c r="E18" s="21"/>
      <x:c r="F18" s="21" t="str">
        <x:v>needs_geospatial_verification</x:v>
      </x:c>
      <x:c r="G18" s="27" t="b">
        <x:v>0</x:v>
      </x:c>
      <x:c r="H18" s="21" t="str">
        <x:v>[]</x:v>
      </x:c>
      <x:c r="I18" s="21" t="str">
        <x:v>BLOCKED</x:v>
      </x:c>
    </x:row>
    <x:row r="19">
      <x:c r="A19" s="21" t="str">
        <x:v>site-6162b1da6edc</x:v>
      </x:c>
      <x:c r="B19" s="21" t="str">
        <x:v>yn-sr-6162b1</x:v>
      </x:c>
      <x:c r="C19" s="21" t="str">
        <x:v>عين سارة</x:v>
      </x:c>
      <x:c r="D19" s="21"/>
      <x:c r="E19" s="21"/>
      <x:c r="F19" s="21" t="str">
        <x:v>needs_geospatial_verification</x:v>
      </x:c>
      <x:c r="G19" s="27" t="b">
        <x:v>0</x:v>
      </x:c>
      <x:c r="H19" s="21" t="str">
        <x:v>[]</x:v>
      </x:c>
      <x:c r="I19" s="21" t="str">
        <x:v>BLOCKED</x:v>
      </x:c>
    </x:row>
    <x:row r="20">
      <x:c r="A20" s="21" t="str">
        <x:v>site-d2c9e9bc9652</x:v>
      </x:c>
      <x:c r="B20" s="21" t="str">
        <x:v>ql-lkrml-dyr-smt-d2c9e9</x:v>
      </x:c>
      <x:c r="C20" s="21" t="str">
        <x:v>قلعة الكرمل (دير سامت)</x:v>
      </x:c>
      <x:c r="D20" s="21"/>
      <x:c r="E20" s="21"/>
      <x:c r="F20" s="21" t="str">
        <x:v>needs_geospatial_verification</x:v>
      </x:c>
      <x:c r="G20" s="27" t="b">
        <x:v>0</x:v>
      </x:c>
      <x:c r="H20" s="21" t="str">
        <x:v>[]</x:v>
      </x:c>
      <x:c r="I20" s="21" t="str">
        <x:v>BLOCKED</x:v>
      </x:c>
    </x:row>
    <x:row r="21">
      <x:c r="A21" s="21" t="str">
        <x:v>site-0dc57168d963</x:v>
      </x:c>
      <x:c r="B21" s="21" t="str">
        <x:v>mgr-lbtrk-jz-mn-lhrm-0dc571</x:v>
      </x:c>
      <x:c r="C21" s="21" t="str">
        <x:v>مغارة البطاركة (جزء من الحرم)</x:v>
      </x:c>
      <x:c r="D21" s="21"/>
      <x:c r="E21" s="21"/>
      <x:c r="F21" s="21" t="str">
        <x:v>needs_geospatial_verification</x:v>
      </x:c>
      <x:c r="G21" s="27" t="b">
        <x:v>0</x:v>
      </x:c>
      <x:c r="H21" s="21" t="str">
        <x:v>[]</x:v>
      </x:c>
      <x:c r="I21" s="21" t="str">
        <x:v>BLOCKED</x:v>
      </x:c>
    </x:row>
    <x:row r="22">
      <x:c r="A22" s="21" t="str">
        <x:v>site-7532d020842e</x:v>
      </x:c>
      <x:c r="B22" s="21" t="str">
        <x:v>mqm-lshykh-ly-lbk-7532d0</x:v>
      </x:c>
      <x:c r="C22" s="21" t="str">
        <x:v>مقام الشيخ علي البكاء</x:v>
      </x:c>
      <x:c r="D22" s="21"/>
      <x:c r="E22" s="21"/>
      <x:c r="F22" s="21" t="str">
        <x:v>needs_geospatial_verification</x:v>
      </x:c>
      <x:c r="G22" s="27" t="b">
        <x:v>0</x:v>
      </x:c>
      <x:c r="H22" s="21" t="str">
        <x:v>[]</x:v>
      </x:c>
      <x:c r="I22" s="21" t="str">
        <x:v>BLOCKED</x:v>
      </x:c>
    </x:row>
    <x:row r="23">
      <x:c r="A23" s="21" t="str">
        <x:v>site-37c8be50ce73</x:v>
      </x:c>
      <x:c r="B23" s="21" t="str">
        <x:v>brk-slymn-37c8be</x:v>
      </x:c>
      <x:c r="C23" s="21" t="str">
        <x:v>برك سليمان</x:v>
      </x:c>
      <x:c r="D23" s="21" t="n">
        <x:v>31.6885</x:v>
      </x:c>
      <x:c r="E23" s="21" t="n">
        <x:v>35.1695</x:v>
      </x:c>
      <x:c r="F23" s="21" t="str">
        <x:v>available_for_review</x:v>
      </x:c>
      <x:c r="G23" s="27" t="b">
        <x:v>0</x:v>
      </x:c>
      <x:c r="H23" s="21" t="str">
        <x:v>[]</x:v>
      </x:c>
      <x:c r="I23" s="21" t="str">
        <x:v>REVIEW_ONLY</x:v>
      </x:c>
    </x:row>
    <x:row r="24">
      <x:c r="A24" s="21" t="str">
        <x:v>site-f97aa993c98b</x:v>
      </x:c>
      <x:c r="B24" s="21" t="str">
        <x:v>dyr-ljn-lkhdr-f97aa9</x:v>
      </x:c>
      <x:c r="C24" s="21" t="str">
        <x:v>دير الجنة (الخضر)</x:v>
      </x:c>
      <x:c r="D24" s="21"/>
      <x:c r="E24" s="21"/>
      <x:c r="F24" s="21" t="str">
        <x:v>needs_geospatial_verification</x:v>
      </x:c>
      <x:c r="G24" s="27" t="b">
        <x:v>0</x:v>
      </x:c>
      <x:c r="H24" s="21" t="str">
        <x:v>[]</x:v>
      </x:c>
      <x:c r="I24" s="21" t="str">
        <x:v>BLOCKED</x:v>
      </x:c>
    </x:row>
    <x:row r="25">
      <x:c r="A25" s="21" t="str">
        <x:v>site-a8aeb054b451</x:v>
      </x:c>
      <x:c r="B25" s="21" t="str">
        <x:v>dyr-mr-sb-a8aeb0</x:v>
      </x:c>
      <x:c r="C25" s="21" t="str">
        <x:v>دير مار سابا</x:v>
      </x:c>
      <x:c r="D25" s="21"/>
      <x:c r="E25" s="21"/>
      <x:c r="F25" s="21" t="str">
        <x:v>needs_geospatial_verification</x:v>
      </x:c>
      <x:c r="G25" s="27" t="b">
        <x:v>0</x:v>
      </x:c>
      <x:c r="H25" s="21" t="str">
        <x:v>[]</x:v>
      </x:c>
      <x:c r="I25" s="21" t="str">
        <x:v>BLOCKED</x:v>
      </x:c>
    </x:row>
    <x:row r="26">
      <x:c r="A26" s="21" t="str">
        <x:v>site-88fede7b6df0</x:v>
      </x:c>
      <x:c r="B26" s="21" t="str">
        <x:v>qry-btyr-88fede</x:v>
      </x:c>
      <x:c r="C26" s="21" t="str">
        <x:v>قرية بتير</x:v>
      </x:c>
      <x:c r="D26" s="21"/>
      <x:c r="E26" s="21"/>
      <x:c r="F26" s="21" t="str">
        <x:v>needs_geospatial_verification</x:v>
      </x:c>
      <x:c r="G26" s="27" t="b">
        <x:v>0</x:v>
      </x:c>
      <x:c r="H26" s="21" t="str">
        <x:v>[]</x:v>
      </x:c>
      <x:c r="I26" s="21" t="str">
        <x:v>BLOCKED</x:v>
      </x:c>
    </x:row>
    <x:row r="27">
      <x:c r="A27" s="21" t="str">
        <x:v>site-133155518939</x:v>
      </x:c>
      <x:c r="B27" s="21" t="str">
        <x:v>qsr-hyrwdywn-133155</x:v>
      </x:c>
      <x:c r="C27" s="21" t="str">
        <x:v>قصر هيروديون</x:v>
      </x:c>
      <x:c r="D27" s="21"/>
      <x:c r="E27" s="21"/>
      <x:c r="F27" s="21" t="str">
        <x:v>needs_geospatial_verification</x:v>
      </x:c>
      <x:c r="G27" s="27" t="b">
        <x:v>0</x:v>
      </x:c>
      <x:c r="H27" s="21" t="str">
        <x:v>[]</x:v>
      </x:c>
      <x:c r="I27" s="21" t="str">
        <x:v>BLOCKED</x:v>
      </x:c>
    </x:row>
    <x:row r="28">
      <x:c r="A28" s="21" t="str">
        <x:v>site-63fe9eba7871</x:v>
      </x:c>
      <x:c r="B28" s="21" t="str">
        <x:v>ql-lbrk-63fe9e</x:v>
      </x:c>
      <x:c r="C28" s="21" t="str">
        <x:v>قلعة البرك</x:v>
      </x:c>
      <x:c r="D28" s="21"/>
      <x:c r="E28" s="21"/>
      <x:c r="F28" s="21" t="str">
        <x:v>needs_geospatial_verification</x:v>
      </x:c>
      <x:c r="G28" s="27" t="b">
        <x:v>0</x:v>
      </x:c>
      <x:c r="H28" s="21" t="str">
        <x:v>[]</x:v>
      </x:c>
      <x:c r="I28" s="21" t="str">
        <x:v>BLOCKED</x:v>
      </x:c>
    </x:row>
    <x:row r="29">
      <x:c r="A29" s="21" t="str">
        <x:v>site-4b15f14c306f</x:v>
      </x:c>
      <x:c r="B29" s="21" t="str">
        <x:v>knys-lmhd-4b15f1</x:v>
      </x:c>
      <x:c r="C29" s="21" t="str">
        <x:v>كنيسة المهد</x:v>
      </x:c>
      <x:c r="D29" s="21"/>
      <x:c r="E29" s="21"/>
      <x:c r="F29" s="21" t="str">
        <x:v>needs_geospatial_verification</x:v>
      </x:c>
      <x:c r="G29" s="27" t="b">
        <x:v>0</x:v>
      </x:c>
      <x:c r="H29" s="21" t="str">
        <x:v>[]</x:v>
      </x:c>
      <x:c r="I29" s="21" t="str">
        <x:v>BLOCKED</x:v>
      </x:c>
    </x:row>
    <x:row r="30">
      <x:c r="A30" s="21" t="str">
        <x:v>site-57adc62d6d70</x:v>
      </x:c>
      <x:c r="B30" s="21" t="str">
        <x:v>mgr-lhlyb-57adc6</x:v>
      </x:c>
      <x:c r="C30" s="21" t="str">
        <x:v>مغارة الحليب</x:v>
      </x:c>
      <x:c r="D30" s="21"/>
      <x:c r="E30" s="21"/>
      <x:c r="F30" s="21" t="str">
        <x:v>needs_geospatial_verification</x:v>
      </x:c>
      <x:c r="G30" s="27" t="b">
        <x:v>0</x:v>
      </x:c>
      <x:c r="H30" s="21" t="str">
        <x:v>[]</x:v>
      </x:c>
      <x:c r="I30" s="21" t="str">
        <x:v>BLOCKED</x:v>
      </x:c>
    </x:row>
    <x:row r="31">
      <x:c r="A31" s="21" t="str">
        <x:v>site-e2a5c15f76f6</x:v>
      </x:c>
      <x:c r="B31" s="21" t="str">
        <x:v>bld-byrzyt-lqdym-e2a5c1</x:v>
      </x:c>
      <x:c r="C31" s="21" t="str">
        <x:v>بلدة بيرزيت القديمة</x:v>
      </x:c>
      <x:c r="D31" s="21"/>
      <x:c r="E31" s="21"/>
      <x:c r="F31" s="21" t="str">
        <x:v>needs_geospatial_verification</x:v>
      </x:c>
      <x:c r="G31" s="27" t="b">
        <x:v>0</x:v>
      </x:c>
      <x:c r="H31" s="21" t="str">
        <x:v>[]</x:v>
      </x:c>
      <x:c r="I31" s="21" t="str">
        <x:v>BLOCKED</x:v>
      </x:c>
    </x:row>
    <x:row r="32">
      <x:c r="A32" s="21" t="str">
        <x:v>site-014e4c4e4845</x:v>
      </x:c>
      <x:c r="B32" s="21" t="str">
        <x:v>khrb-bwd-014e4c</x:v>
      </x:c>
      <x:c r="C32" s="21" t="str">
        <x:v>خربة عابود</x:v>
      </x:c>
      <x:c r="D32" s="21"/>
      <x:c r="E32" s="21"/>
      <x:c r="F32" s="21" t="str">
        <x:v>needs_geospatial_verification</x:v>
      </x:c>
      <x:c r="G32" s="27" t="b">
        <x:v>0</x:v>
      </x:c>
      <x:c r="H32" s="21" t="str">
        <x:v>[]</x:v>
      </x:c>
      <x:c r="I32" s="21" t="str">
        <x:v>BLOCKED</x:v>
      </x:c>
    </x:row>
    <x:row r="33">
      <x:c r="A33" s="21" t="str">
        <x:v>site-28dd528f5f3a</x:v>
      </x:c>
      <x:c r="B33" s="21" t="str">
        <x:v>dyr-mr-28dd52</x:v>
      </x:c>
      <x:c r="C33" s="21" t="str">
        <x:v>دير عمار</x:v>
      </x:c>
      <x:c r="D33" s="21"/>
      <x:c r="E33" s="21"/>
      <x:c r="F33" s="21" t="str">
        <x:v>needs_geospatial_verification</x:v>
      </x:c>
      <x:c r="G33" s="27" t="b">
        <x:v>0</x:v>
      </x:c>
      <x:c r="H33" s="21" t="str">
        <x:v>[]</x:v>
      </x:c>
      <x:c r="I33" s="21" t="str">
        <x:v>BLOCKED</x:v>
      </x:c>
    </x:row>
    <x:row r="34">
      <x:c r="A34" s="21" t="str">
        <x:v>site-2a3fdab99250</x:v>
      </x:c>
      <x:c r="B34" s="21" t="str">
        <x:v>yn-smy-2a3fda</x:v>
      </x:c>
      <x:c r="C34" s="21" t="str">
        <x:v>عين سامية</x:v>
      </x:c>
      <x:c r="D34" s="21"/>
      <x:c r="E34" s="21"/>
      <x:c r="F34" s="21" t="str">
        <x:v>needs_geospatial_verification</x:v>
      </x:c>
      <x:c r="G34" s="27" t="b">
        <x:v>0</x:v>
      </x:c>
      <x:c r="H34" s="21" t="str">
        <x:v>[]</x:v>
      </x:c>
      <x:c r="I34" s="21" t="str">
        <x:v>BLOCKED</x:v>
      </x:c>
    </x:row>
    <x:row r="35">
      <x:c r="A35" s="21" t="str">
        <x:v>site-78a64ec5ef15</x:v>
      </x:c>
      <x:c r="B35" s="21" t="str">
        <x:v>qsr-lryn-78a64e</x:v>
      </x:c>
      <x:c r="C35" s="21" t="str">
        <x:v>قصر الريان</x:v>
      </x:c>
      <x:c r="D35" s="21"/>
      <x:c r="E35" s="21"/>
      <x:c r="F35" s="21" t="str">
        <x:v>needs_geospatial_verification</x:v>
      </x:c>
      <x:c r="G35" s="27" t="b">
        <x:v>0</x:v>
      </x:c>
      <x:c r="H35" s="21" t="str">
        <x:v>[]</x:v>
      </x:c>
      <x:c r="I35" s="21" t="str">
        <x:v>BLOCKED</x:v>
      </x:c>
    </x:row>
    <x:row r="36">
      <x:c r="A36" s="21" t="str">
        <x:v>site-12fc185d4b0b</x:v>
      </x:c>
      <x:c r="B36" s="21" t="str">
        <x:v>mqm-lnby-slh-12fc18</x:v>
      </x:c>
      <x:c r="C36" s="21" t="str">
        <x:v>مقام النبي صالح</x:v>
      </x:c>
      <x:c r="D36" s="21"/>
      <x:c r="E36" s="21"/>
      <x:c r="F36" s="21" t="str">
        <x:v>needs_geospatial_verification</x:v>
      </x:c>
      <x:c r="G36" s="27" t="b">
        <x:v>0</x:v>
      </x:c>
      <x:c r="H36" s="21" t="str">
        <x:v>[]</x:v>
      </x:c>
      <x:c r="I36" s="21" t="str">
        <x:v>BLOCKED</x:v>
      </x:c>
    </x:row>
    <x:row r="37">
      <x:c r="A37" s="21" t="str">
        <x:v>site-a9ac192e20c3</x:v>
      </x:c>
      <x:c r="B37" s="21" t="str">
        <x:v>bld-nbls-lqdym-a9ac19</x:v>
      </x:c>
      <x:c r="C37" s="21" t="str">
        <x:v>بلدة نابلس القديمة</x:v>
      </x:c>
      <x:c r="D37" s="21"/>
      <x:c r="E37" s="21"/>
      <x:c r="F37" s="21" t="str">
        <x:v>needs_geospatial_verification</x:v>
      </x:c>
      <x:c r="G37" s="27" t="b">
        <x:v>0</x:v>
      </x:c>
      <x:c r="H37" s="21" t="str">
        <x:v>[]</x:v>
      </x:c>
      <x:c r="I37" s="21" t="str">
        <x:v>BLOCKED</x:v>
      </x:c>
    </x:row>
    <x:row r="38">
      <x:c r="A38" s="21" t="str">
        <x:v>site-a429c345ac25</x:v>
      </x:c>
      <x:c r="B38" s="21" t="str">
        <x:v>jm-lnsr-a429c3</x:v>
      </x:c>
      <x:c r="C38" s="21" t="str">
        <x:v>جامع النصر</x:v>
      </x:c>
      <x:c r="D38" s="21"/>
      <x:c r="E38" s="21"/>
      <x:c r="F38" s="21" t="str">
        <x:v>needs_geospatial_verification</x:v>
      </x:c>
      <x:c r="G38" s="27" t="b">
        <x:v>0</x:v>
      </x:c>
      <x:c r="H38" s="21" t="str">
        <x:v>[]</x:v>
      </x:c>
      <x:c r="I38" s="21" t="str">
        <x:v>BLOCKED</x:v>
      </x:c>
    </x:row>
    <x:row r="39">
      <x:c r="A39" s="21" t="str">
        <x:v>site-b6773e683274</x:v>
      </x:c>
      <x:c r="B39" s="21" t="str">
        <x:v>jbl-jrzym-b6773e</x:v>
      </x:c>
      <x:c r="C39" s="21" t="str">
        <x:v>جبل جرزيم</x:v>
      </x:c>
      <x:c r="D39" s="21"/>
      <x:c r="E39" s="21"/>
      <x:c r="F39" s="21" t="str">
        <x:v>needs_geospatial_verification</x:v>
      </x:c>
      <x:c r="G39" s="27" t="b">
        <x:v>0</x:v>
      </x:c>
      <x:c r="H39" s="21" t="str">
        <x:v>[{"candidate_coordinate_id": "W4-COORD-GERIZIM-001", "canonical_site_id": "site-b6773e683274", "latitude": 32.2122222222, "longitude": 35.2688888889, "source_id": "W4-AUTH-UNESCO-GERIZIM-2012", "source_notation": "N32 12 44 E35 16 08", "candidate_type": "state_party_property_reference_point", "verification_status": "SOURCE_TRACED_NOT_INDEPENDENTLY_VERIFIED", "direct_map_use": "BLOCKED", "promotion_status": "NOT_PROMOTED", "human_geospatial_review": "PENDING"}]</x:v>
      </x:c>
      <x:c r="I39" s="21" t="str">
        <x:v>BLOCKED</x:v>
      </x:c>
    </x:row>
    <x:row r="40">
      <x:c r="A40" s="21" t="str">
        <x:v>site-160c60c7b952</x:v>
      </x:c>
      <x:c r="B40" s="21" t="str">
        <x:v>hr-lysmyn-160c60</x:v>
      </x:c>
      <x:c r="C40" s="21" t="str">
        <x:v>حارة الياسمينة</x:v>
      </x:c>
      <x:c r="D40" s="21"/>
      <x:c r="E40" s="21"/>
      <x:c r="F40" s="21" t="str">
        <x:v>needs_geospatial_verification</x:v>
      </x:c>
      <x:c r="G40" s="27" t="b">
        <x:v>0</x:v>
      </x:c>
      <x:c r="H40" s="21" t="str">
        <x:v>[]</x:v>
      </x:c>
      <x:c r="I40" s="21" t="str">
        <x:v>BLOCKED</x:v>
      </x:c>
    </x:row>
    <x:row r="41">
      <x:c r="A41" s="21" t="str">
        <x:v>site-31c7667ff10e</x:v>
      </x:c>
      <x:c r="B41" s="21" t="str">
        <x:v>khn-ltjr-31c766</x:v>
      </x:c>
      <x:c r="C41" s="21" t="str">
        <x:v>خان التجار</x:v>
      </x:c>
      <x:c r="D41" s="21"/>
      <x:c r="E41" s="21"/>
      <x:c r="F41" s="21" t="str">
        <x:v>needs_geospatial_verification</x:v>
      </x:c>
      <x:c r="G41" s="27" t="b">
        <x:v>0</x:v>
      </x:c>
      <x:c r="H41" s="21" t="str">
        <x:v>[]</x:v>
      </x:c>
      <x:c r="I41" s="21" t="str">
        <x:v>BLOCKED</x:v>
      </x:c>
    </x:row>
    <x:row r="42">
      <x:c r="A42" s="21" t="str">
        <x:v>site-6f6afe87f969</x:v>
      </x:c>
      <x:c r="B42" s="21" t="str">
        <x:v>sbsty-shmrwn-6f6afe</x:v>
      </x:c>
      <x:c r="C42" s="21" t="str">
        <x:v>سبسطية (شمرون)</x:v>
      </x:c>
      <x:c r="D42" s="21" t="n">
        <x:v>32.2766</x:v>
      </x:c>
      <x:c r="E42" s="21" t="n">
        <x:v>35.1953</x:v>
      </x:c>
      <x:c r="F42" s="21" t="str">
        <x:v>available_for_review</x:v>
      </x:c>
      <x:c r="G42" s="27" t="b">
        <x:v>0</x:v>
      </x:c>
      <x:c r="H42" s="21" t="str">
        <x:v>[]</x:v>
      </x:c>
      <x:c r="I42" s="21" t="str">
        <x:v>REVIEW_ONLY</x:v>
      </x:c>
    </x:row>
    <x:row r="43">
      <x:c r="A43" s="21" t="str">
        <x:v>site-d00341226494</x:v>
      </x:c>
      <x:c r="B43" s="21" t="str">
        <x:v>mqm-lnby-sh-yb-d00341</x:v>
      </x:c>
      <x:c r="C43" s="21" t="str">
        <x:v>مقام النبي شعيب</x:v>
      </x:c>
      <x:c r="D43" s="21"/>
      <x:c r="E43" s="21"/>
      <x:c r="F43" s="21" t="str">
        <x:v>needs_geospatial_verification</x:v>
      </x:c>
      <x:c r="G43" s="27" t="b">
        <x:v>0</x:v>
      </x:c>
      <x:c r="H43" s="21" t="str">
        <x:v>[]</x:v>
      </x:c>
      <x:c r="I43" s="21" t="str">
        <x:v>BLOCKED</x:v>
      </x:c>
    </x:row>
    <x:row r="44">
      <x:c r="A44" s="21" t="str">
        <x:v>site-fb9a817ec94a</x:v>
      </x:c>
      <x:c r="B44" s="21" t="str">
        <x:v>mqm-lnby-ywsf-blt-fb9a81</x:v>
      </x:c>
      <x:c r="C44" s="21" t="str">
        <x:v>مقام النبي يوسف (بلاطة)</x:v>
      </x:c>
      <x:c r="D44" s="21"/>
      <x:c r="E44" s="21"/>
      <x:c r="F44" s="21" t="str">
        <x:v>needs_geospatial_verification</x:v>
      </x:c>
      <x:c r="G44" s="27" t="b">
        <x:v>0</x:v>
      </x:c>
      <x:c r="H44" s="21" t="str">
        <x:v>[]</x:v>
      </x:c>
      <x:c r="I44" s="21" t="str">
        <x:v>BLOCKED</x:v>
      </x:c>
    </x:row>
    <x:row r="45">
      <x:c r="A45" s="21" t="str">
        <x:v>site-f2a7fbbda5a5</x:v>
      </x:c>
      <x:c r="B45" s="21" t="str">
        <x:v>bld-jnyn-lqdym-f2a7fb</x:v>
      </x:c>
      <x:c r="C45" s="21" t="str">
        <x:v>بلدة جنين القديمة</x:v>
      </x:c>
      <x:c r="D45" s="21"/>
      <x:c r="E45" s="21"/>
      <x:c r="F45" s="21" t="str">
        <x:v>needs_geospatial_verification</x:v>
      </x:c>
      <x:c r="G45" s="27" t="b">
        <x:v>0</x:v>
      </x:c>
      <x:c r="H45" s="21" t="str">
        <x:v>[]</x:v>
      </x:c>
      <x:c r="I45" s="21" t="str">
        <x:v>BLOCKED</x:v>
      </x:c>
    </x:row>
    <x:row r="46">
      <x:c r="A46" s="21" t="str">
        <x:v>site-0ae63f2b6a17</x:v>
      </x:c>
      <x:c r="B46" s="21" t="str">
        <x:v>tl-jnyn-0ae63f</x:v>
      </x:c>
      <x:c r="C46" s="21" t="str">
        <x:v>تل جنين</x:v>
      </x:c>
      <x:c r="D46" s="21"/>
      <x:c r="E46" s="21"/>
      <x:c r="F46" s="21" t="str">
        <x:v>needs_geospatial_verification</x:v>
      </x:c>
      <x:c r="G46" s="27" t="b">
        <x:v>0</x:v>
      </x:c>
      <x:c r="H46" s="21" t="str">
        <x:v>[]</x:v>
      </x:c>
      <x:c r="I46" s="21" t="str">
        <x:v>BLOCKED</x:v>
      </x:c>
    </x:row>
    <x:row r="47">
      <x:c r="A47" s="21" t="str">
        <x:v>site-fe1e2a1605b5</x:v>
      </x:c>
      <x:c r="B47" s="21" t="str">
        <x:v>qsr-lkyd-fe1e2a</x:v>
      </x:c>
      <x:c r="C47" s="21" t="str">
        <x:v>قصر الكايد</x:v>
      </x:c>
      <x:c r="D47" s="21"/>
      <x:c r="E47" s="21"/>
      <x:c r="F47" s="21" t="str">
        <x:v>needs_geospatial_verification</x:v>
      </x:c>
      <x:c r="G47" s="27" t="b">
        <x:v>0</x:v>
      </x:c>
      <x:c r="H47" s="21" t="str">
        <x:v>[]</x:v>
      </x:c>
      <x:c r="I47" s="21" t="str">
        <x:v>BLOCKED</x:v>
      </x:c>
    </x:row>
    <x:row r="48">
      <x:c r="A48" s="21" t="str">
        <x:v>site-2c1f6b6dbd51</x:v>
      </x:c>
      <x:c r="B48" s="21" t="str">
        <x:v>knys-brqyn-2c1f6b</x:v>
      </x:c>
      <x:c r="C48" s="21" t="str">
        <x:v>كنيسة برقين</x:v>
      </x:c>
      <x:c r="D48" s="21"/>
      <x:c r="E48" s="21"/>
      <x:c r="F48" s="21" t="str">
        <x:v>needs_geospatial_verification</x:v>
      </x:c>
      <x:c r="G48" s="27" t="b">
        <x:v>0</x:v>
      </x:c>
      <x:c r="H48" s="21" t="str">
        <x:v>[]</x:v>
      </x:c>
      <x:c r="I48" s="21" t="str">
        <x:v>BLOCKED</x:v>
      </x:c>
    </x:row>
    <x:row r="49">
      <x:c r="A49" s="21" t="str">
        <x:v>site-fc3cde18193c</x:v>
      </x:c>
      <x:c r="B49" s="21" t="str">
        <x:v>mqm-lshykh-hsn-fc3cde</x:v>
      </x:c>
      <x:c r="C49" s="21" t="str">
        <x:v>مقام الشيخ حسن</x:v>
      </x:c>
      <x:c r="D49" s="21"/>
      <x:c r="E49" s="21"/>
      <x:c r="F49" s="21" t="str">
        <x:v>needs_geospatial_verification</x:v>
      </x:c>
      <x:c r="G49" s="27" t="b">
        <x:v>0</x:v>
      </x:c>
      <x:c r="H49" s="21" t="str">
        <x:v>[]</x:v>
      </x:c>
      <x:c r="I49" s="21" t="str">
        <x:v>BLOCKED</x:v>
      </x:c>
    </x:row>
    <x:row r="50">
      <x:c r="A50" s="21" t="str">
        <x:v>site-a28891855f38</x:v>
      </x:c>
      <x:c r="B50" s="21" t="str">
        <x:v>bld-dyr-lgswn-a28891</x:v>
      </x:c>
      <x:c r="C50" s="21" t="str">
        <x:v>بلدة دير الغصون</x:v>
      </x:c>
      <x:c r="D50" s="21"/>
      <x:c r="E50" s="21"/>
      <x:c r="F50" s="21" t="str">
        <x:v>needs_geospatial_verification</x:v>
      </x:c>
      <x:c r="G50" s="27" t="b">
        <x:v>0</x:v>
      </x:c>
      <x:c r="H50" s="21" t="str">
        <x:v>[]</x:v>
      </x:c>
      <x:c r="I50" s="21" t="str">
        <x:v>BLOCKED</x:v>
      </x:c>
    </x:row>
    <x:row r="51">
      <x:c r="A51" s="21" t="str">
        <x:v>site-7a4bd929848c</x:v>
      </x:c>
      <x:c r="B51" s="21" t="str">
        <x:v>khrb-brj-l-bd-7a4bd9</x:v>
      </x:c>
      <x:c r="C51" s="21" t="str">
        <x:v>خربة برج العبد</x:v>
      </x:c>
      <x:c r="D51" s="21"/>
      <x:c r="E51" s="21"/>
      <x:c r="F51" s="21" t="str">
        <x:v>needs_geospatial_verification</x:v>
      </x:c>
      <x:c r="G51" s="27" t="b">
        <x:v>0</x:v>
      </x:c>
      <x:c r="H51" s="21" t="str">
        <x:v>[]</x:v>
      </x:c>
      <x:c r="I51" s="21" t="str">
        <x:v>BLOCKED</x:v>
      </x:c>
    </x:row>
    <x:row r="52">
      <x:c r="A52" s="21" t="str">
        <x:v>site-0c0a379f20f7</x:v>
      </x:c>
      <x:c r="B52" s="21" t="str">
        <x:v>khrb-jb-0c0a37</x:v>
      </x:c>
      <x:c r="C52" s="21" t="str">
        <x:v>خربة جبع</x:v>
      </x:c>
      <x:c r="D52" s="21"/>
      <x:c r="E52" s="21"/>
      <x:c r="F52" s="21" t="str">
        <x:v>needs_geospatial_verification</x:v>
      </x:c>
      <x:c r="G52" s="27" t="b">
        <x:v>0</x:v>
      </x:c>
      <x:c r="H52" s="21" t="str">
        <x:v>[]</x:v>
      </x:c>
      <x:c r="I52" s="21" t="str">
        <x:v>BLOCKED</x:v>
      </x:c>
    </x:row>
    <x:row r="53">
      <x:c r="A53" s="21" t="str">
        <x:v>site-be1c2ce90997</x:v>
      </x:c>
      <x:c r="B53" s="21" t="str">
        <x:v>mdyn-twlkrm-ltrykhy-be1c2c</x:v>
      </x:c>
      <x:c r="C53" s="21" t="str">
        <x:v>مدينة طولكرم التاريخية</x:v>
      </x:c>
      <x:c r="D53" s="21"/>
      <x:c r="E53" s="21"/>
      <x:c r="F53" s="21" t="str">
        <x:v>needs_geospatial_verification</x:v>
      </x:c>
      <x:c r="G53" s="27" t="b">
        <x:v>0</x:v>
      </x:c>
      <x:c r="H53" s="21" t="str">
        <x:v>[]</x:v>
      </x:c>
      <x:c r="I53" s="21" t="str">
        <x:v>BLOCKED</x:v>
      </x:c>
    </x:row>
    <x:row r="54">
      <x:c r="A54" s="21" t="str">
        <x:v>site-95d241c30366</x:v>
      </x:c>
      <x:c r="B54" s="21" t="str">
        <x:v>mqm-lshykh-shltwt-95d241</x:v>
      </x:c>
      <x:c r="C54" s="21" t="str">
        <x:v>مقام الشيخ شلتوت</x:v>
      </x:c>
      <x:c r="D54" s="21"/>
      <x:c r="E54" s="21"/>
      <x:c r="F54" s="21" t="str">
        <x:v>needs_geospatial_verification</x:v>
      </x:c>
      <x:c r="G54" s="27" t="b">
        <x:v>0</x:v>
      </x:c>
      <x:c r="H54" s="21" t="str">
        <x:v>[]</x:v>
      </x:c>
      <x:c r="I54" s="21" t="str">
        <x:v>BLOCKED</x:v>
      </x:c>
    </x:row>
    <x:row r="55">
      <x:c r="A55" s="21" t="str">
        <x:v>site-02cb039fe1eb</x:v>
      </x:c>
      <x:c r="B55" s="21" t="str">
        <x:v>khrb-zwn-02cb03</x:v>
      </x:c>
      <x:c r="C55" s="21" t="str">
        <x:v>خربة عزون</x:v>
      </x:c>
      <x:c r="D55" s="21"/>
      <x:c r="E55" s="21"/>
      <x:c r="F55" s="21" t="str">
        <x:v>needs_geospatial_verification</x:v>
      </x:c>
      <x:c r="G55" s="27" t="b">
        <x:v>0</x:v>
      </x:c>
      <x:c r="H55" s="21" t="str">
        <x:v>[]</x:v>
      </x:c>
      <x:c r="I55" s="21" t="str">
        <x:v>BLOCKED</x:v>
      </x:c>
    </x:row>
    <x:row r="56">
      <x:c r="A56" s="21" t="str">
        <x:v>site-3ab4c5b64173</x:v>
      </x:c>
      <x:c r="B56" s="21" t="str">
        <x:v>khrb-qlqyly-lqdym-3ab4c5</x:v>
      </x:c>
      <x:c r="C56" s="21" t="str">
        <x:v>خربة قلقيلية القديمة</x:v>
      </x:c>
      <x:c r="D56" s="21"/>
      <x:c r="E56" s="21"/>
      <x:c r="F56" s="21" t="str">
        <x:v>needs_geospatial_verification</x:v>
      </x:c>
      <x:c r="G56" s="27" t="b">
        <x:v>0</x:v>
      </x:c>
      <x:c r="H56" s="21" t="str">
        <x:v>[]</x:v>
      </x:c>
      <x:c r="I56" s="21" t="str">
        <x:v>BLOCKED</x:v>
      </x:c>
    </x:row>
    <x:row r="57">
      <x:c r="A57" s="21" t="str">
        <x:v>site-a33c0a4f64fa</x:v>
      </x:c>
      <x:c r="B57" s="21" t="str">
        <x:v>mqm-lnby-ymyn-a33c0a</x:v>
      </x:c>
      <x:c r="C57" s="21" t="str">
        <x:v>مقام النبي يامين</x:v>
      </x:c>
      <x:c r="D57" s="21"/>
      <x:c r="E57" s="21"/>
      <x:c r="F57" s="21" t="str">
        <x:v>needs_geospatial_verification</x:v>
      </x:c>
      <x:c r="G57" s="27" t="b">
        <x:v>0</x:v>
      </x:c>
      <x:c r="H57" s="21" t="str">
        <x:v>[]</x:v>
      </x:c>
      <x:c r="I57" s="21" t="str">
        <x:v>BLOCKED</x:v>
      </x:c>
    </x:row>
    <x:row r="58">
      <x:c r="A58" s="21" t="str">
        <x:v>site-69f3ad775733</x:v>
      </x:c>
      <x:c r="B58" s="21" t="str">
        <x:v>khrb-dyr-sty-69f3ad</x:v>
      </x:c>
      <x:c r="C58" s="21" t="str">
        <x:v>خربة دير استيا</x:v>
      </x:c>
      <x:c r="D58" s="21"/>
      <x:c r="E58" s="21"/>
      <x:c r="F58" s="21" t="str">
        <x:v>needs_geospatial_verification</x:v>
      </x:c>
      <x:c r="G58" s="27" t="b">
        <x:v>0</x:v>
      </x:c>
      <x:c r="H58" s="21" t="str">
        <x:v>[]</x:v>
      </x:c>
      <x:c r="I58" s="21" t="str">
        <x:v>BLOCKED</x:v>
      </x:c>
    </x:row>
    <x:row r="59">
      <x:c r="A59" s="21" t="str">
        <x:v>site-ba91049d51a9</x:v>
      </x:c>
      <x:c r="B59" s="21" t="str">
        <x:v>ywn-lm-l-thry-ba9104</x:v>
      </x:c>
      <x:c r="C59" s="21" t="str">
        <x:v>عيون الماء الأثرية</x:v>
      </x:c>
      <x:c r="D59" s="21"/>
      <x:c r="E59" s="21"/>
      <x:c r="F59" s="21" t="str">
        <x:v>needs_geospatial_verification</x:v>
      </x:c>
      <x:c r="G59" s="27" t="b">
        <x:v>0</x:v>
      </x:c>
      <x:c r="H59" s="21" t="str">
        <x:v>[]</x:v>
      </x:c>
      <x:c r="I59" s="21" t="str">
        <x:v>BLOCKED</x:v>
      </x:c>
    </x:row>
    <x:row r="60">
      <x:c r="A60" s="21" t="str">
        <x:v>site-b2a7e03ecda1</x:v>
      </x:c>
      <x:c r="B60" s="21" t="str">
        <x:v>ql-kfl-hrs-b2a7e0</x:v>
      </x:c>
      <x:c r="C60" s="21" t="str">
        <x:v>قلعة كفل حارس</x:v>
      </x:c>
      <x:c r="D60" s="21"/>
      <x:c r="E60" s="21"/>
      <x:c r="F60" s="21" t="str">
        <x:v>needs_geospatial_verification</x:v>
      </x:c>
      <x:c r="G60" s="27" t="b">
        <x:v>0</x:v>
      </x:c>
      <x:c r="H60" s="21" t="str">
        <x:v>[]</x:v>
      </x:c>
      <x:c r="I60" s="21" t="str">
        <x:v>BLOCKED</x:v>
      </x:c>
    </x:row>
    <x:row r="61">
      <x:c r="A61" s="21" t="str">
        <x:v>site-c6731a990917</x:v>
      </x:c>
      <x:c r="B61" s="21" t="str">
        <x:v>tl-lfr-lmdyn-lkn-ny-c6731a</x:v>
      </x:c>
      <x:c r="C61" s="21" t="str">
        <x:v>تل الفارعة (المدينة الكنعانية)</x:v>
      </x:c>
      <x:c r="D61" s="21"/>
      <x:c r="E61" s="21"/>
      <x:c r="F61" s="21" t="str">
        <x:v>needs_geospatial_verification</x:v>
      </x:c>
      <x:c r="G61" s="27" t="b">
        <x:v>0</x:v>
      </x:c>
      <x:c r="H61" s="21" t="str">
        <x:v>[]</x:v>
      </x:c>
      <x:c r="I61" s="21" t="str">
        <x:v>BLOCKED</x:v>
      </x:c>
    </x:row>
    <x:row r="62">
      <x:c r="A62" s="21" t="str">
        <x:v>site-4ab7d2100cc2</x:v>
      </x:c>
      <x:c r="B62" s="21" t="str">
        <x:v>khrb-twbs-lqdym-4ab7d2</x:v>
      </x:c>
      <x:c r="C62" s="21" t="str">
        <x:v>خربة طوباس القديمة</x:v>
      </x:c>
      <x:c r="D62" s="21"/>
      <x:c r="E62" s="21"/>
      <x:c r="F62" s="21" t="str">
        <x:v>needs_geospatial_verification</x:v>
      </x:c>
      <x:c r="G62" s="27" t="b">
        <x:v>0</x:v>
      </x:c>
      <x:c r="H62" s="21" t="str">
        <x:v>[]</x:v>
      </x:c>
      <x:c r="I62" s="21" t="str">
        <x:v>BLOCKED</x:v>
      </x:c>
    </x:row>
    <x:row r="63">
      <x:c r="A63" s="21" t="str">
        <x:v>site-bc56c2f93d66</x:v>
      </x:c>
      <x:c r="B63" s="21" t="str">
        <x:v>yn-lfr-bc56c2</x:v>
      </x:c>
      <x:c r="C63" s="21" t="str">
        <x:v>عين الفارعة</x:v>
      </x:c>
      <x:c r="D63" s="21"/>
      <x:c r="E63" s="21"/>
      <x:c r="F63" s="21" t="str">
        <x:v>needs_geospatial_verification</x:v>
      </x:c>
      <x:c r="G63" s="27" t="b">
        <x:v>0</x:v>
      </x:c>
      <x:c r="H63" s="21" t="str">
        <x:v>[]</x:v>
      </x:c>
      <x:c r="I63" s="21" t="str">
        <x:v>BLOCKED</x:v>
      </x:c>
    </x:row>
    <x:row r="64">
      <x:c r="A64" s="21" t="str">
        <x:v>site-a86fc049d470</x:v>
      </x:c>
      <x:c r="B64" s="21" t="str">
        <x:v>tl-lsltn-ryh-lqdym-a86fc0</x:v>
      </x:c>
      <x:c r="C64" s="21" t="str">
        <x:v>تل السلطان (أريحا القديمة)</x:v>
      </x:c>
      <x:c r="D64" s="21" t="n">
        <x:v>31.8711</x:v>
      </x:c>
      <x:c r="E64" s="21" t="n">
        <x:v>35.4439</x:v>
      </x:c>
      <x:c r="F64" s="21" t="str">
        <x:v>available_for_review</x:v>
      </x:c>
      <x:c r="G64" s="27" t="b">
        <x:v>0</x:v>
      </x:c>
      <x:c r="H64" s="21" t="str">
        <x:v>[]</x:v>
      </x:c>
      <x:c r="I64" s="21" t="str">
        <x:v>REVIEW_ONLY</x:v>
      </x:c>
    </x:row>
    <x:row r="65">
      <x:c r="A65" s="21" t="str">
        <x:v>site-cc4465115964</x:v>
      </x:c>
      <x:c r="B65" s="21" t="str">
        <x:v>dyr-qrntl-cc4465</x:v>
      </x:c>
      <x:c r="C65" s="21" t="str">
        <x:v>دير قرنطل</x:v>
      </x:c>
      <x:c r="D65" s="21"/>
      <x:c r="E65" s="21"/>
      <x:c r="F65" s="21" t="str">
        <x:v>needs_geospatial_verification</x:v>
      </x:c>
      <x:c r="G65" s="27" t="b">
        <x:v>0</x:v>
      </x:c>
      <x:c r="H65" s="21" t="str">
        <x:v>[]</x:v>
      </x:c>
      <x:c r="I65" s="21" t="str">
        <x:v>BLOCKED</x:v>
      </x:c>
    </x:row>
    <x:row r="66">
      <x:c r="A66" s="21" t="str">
        <x:v>site-b5f00132ee24</x:v>
      </x:c>
      <x:c r="B66" s="21" t="str">
        <x:v>yn-lsltn-b5f001</x:v>
      </x:c>
      <x:c r="C66" s="21" t="str">
        <x:v>عين السلطان</x:v>
      </x:c>
      <x:c r="D66" s="21"/>
      <x:c r="E66" s="21"/>
      <x:c r="F66" s="21" t="str">
        <x:v>needs_geospatial_verification</x:v>
      </x:c>
      <x:c r="G66" s="27" t="b">
        <x:v>0</x:v>
      </x:c>
      <x:c r="H66" s="21" t="str">
        <x:v>[]</x:v>
      </x:c>
      <x:c r="I66" s="21" t="str">
        <x:v>BLOCKED</x:v>
      </x:c>
    </x:row>
    <x:row r="67">
      <x:c r="A67" s="21" t="str">
        <x:v>site-ce23c41d7641</x:v>
      </x:c>
      <x:c r="B67" s="21" t="str">
        <x:v>qbr-lnby-mws-ce23c4</x:v>
      </x:c>
      <x:c r="C67" s="21" t="str">
        <x:v>قبر النبي موسى</x:v>
      </x:c>
      <x:c r="D67" s="21"/>
      <x:c r="E67" s="21"/>
      <x:c r="F67" s="21" t="str">
        <x:v>needs_geospatial_verification</x:v>
      </x:c>
      <x:c r="G67" s="27" t="b">
        <x:v>0</x:v>
      </x:c>
      <x:c r="H67" s="21" t="str">
        <x:v>[]</x:v>
      </x:c>
      <x:c r="I67" s="21" t="str">
        <x:v>BLOCKED</x:v>
      </x:c>
    </x:row>
    <x:row r="68">
      <x:c r="A68" s="21" t="str">
        <x:v>site-0285c869e647</x:v>
      </x:c>
      <x:c r="B68" s="21" t="str">
        <x:v>qsr-hshm-khrb-lmfjr-0285c8</x:v>
      </x:c>
      <x:c r="C68" s="21" t="str">
        <x:v>قصر هشام (خربة المفجر)</x:v>
      </x:c>
      <x:c r="D68" s="21"/>
      <x:c r="E68" s="21"/>
      <x:c r="F68" s="21" t="str">
        <x:v>needs_geospatial_verification</x:v>
      </x:c>
      <x:c r="G68" s="27" t="b">
        <x:v>0</x:v>
      </x:c>
      <x:c r="H68" s="21" t="str">
        <x:v>[]</x:v>
      </x:c>
      <x:c r="I68" s="21" t="str">
        <x:v>BLOCKED</x:v>
      </x:c>
    </x:row>
    <x:row r="69">
      <x:c r="A69" s="21" t="str">
        <x:v>site-7551f628d089</x:v>
      </x:c>
      <x:c r="B69" s="21" t="str">
        <x:v>qn-wdy-lqlt-7551f6</x:v>
      </x:c>
      <x:c r="C69" s="21" t="str">
        <x:v>قناة وادي القلط</x:v>
      </x:c>
      <x:c r="D69" s="21"/>
      <x:c r="E69" s="21"/>
      <x:c r="F69" s="21" t="str">
        <x:v>needs_geospatial_verification</x:v>
      </x:c>
      <x:c r="G69" s="27" t="b">
        <x:v>0</x:v>
      </x:c>
      <x:c r="H69" s="21" t="str">
        <x:v>[]</x:v>
      </x:c>
      <x:c r="I69" s="21" t="str">
        <x:v>BLOCKED</x:v>
      </x:c>
    </x:row>
    <x:row r="70">
      <x:c r="A70" s="21" t="str">
        <x:v>site-c4d8c9fdd1f0</x:v>
      </x:c>
      <x:c r="B70" s="21" t="str">
        <x:v>mqm-lnby-mws-c4d8c9</x:v>
      </x:c>
      <x:c r="C70" s="21" t="str">
        <x:v>مقام النبي موسى</x:v>
      </x:c>
      <x:c r="D70" s="21"/>
      <x:c r="E70" s="21"/>
      <x:c r="F70" s="21" t="str">
        <x:v>needs_geospatial_verification</x:v>
      </x:c>
      <x:c r="G70" s="27" t="b">
        <x:v>0</x:v>
      </x:c>
      <x:c r="H70" s="21" t="str">
        <x:v>[]</x:v>
      </x:c>
      <x:c r="I70" s="21" t="str">
        <x:v>BLOCKED</x:v>
      </x:c>
    </x:row>
    <x:row r="71">
      <x:c r="A71" s="21" t="str">
        <x:v>site-2e45744cdab4</x:v>
      </x:c>
      <x:c r="B71" s="21" t="str">
        <x:v>lmsjd-l-mry-lkbyr-2e4574</x:v>
      </x:c>
      <x:c r="C71" s="21" t="str">
        <x:v>المسجد العمري الكبير</x:v>
      </x:c>
      <x:c r="D71" s="21"/>
      <x:c r="E71" s="21"/>
      <x:c r="F71" s="21" t="str">
        <x:v>needs_geospatial_verification</x:v>
      </x:c>
      <x:c r="G71" s="27" t="b">
        <x:v>0</x:v>
      </x:c>
      <x:c r="H71" s="21" t="str">
        <x:v>[{"candidate_coordinate_id": "W3-COORD-OMARI-001", "canonical_site_id": "site-2e45744cdab4", "latitude": 31.5043333333, "longitude": 34.4646388889, "source_id": "W3-AUTH-UNESCO-GAZA-HISTORIC-CENTRE-2026", "source_notation": "N31 30 15.6 E34 27 52.7", "candidate_type": "state_party_monument_reference_point", "verification_status": "SOURCE_TRACED_NOT_INDEPENDENTLY_VERIFIED", "direct_map_use": "BLOCKED", "promotion_status": "NOT_PROMOTED", "human_geospatial_review": "PENDING"}]</x:v>
      </x:c>
      <x:c r="I71" s="21" t="str">
        <x:v>BLOCKED</x:v>
      </x:c>
    </x:row>
    <x:row r="72">
      <x:c r="A72" s="21" t="str">
        <x:v>site-21150eefdea6</x:v>
      </x:c>
      <x:c r="B72" s="21" t="str">
        <x:v>tl-l-jwl-mdyn-gz-lqdym-21150e</x:v>
      </x:c>
      <x:c r="C72" s="21" t="str">
        <x:v>تل العجول (مدينة غزة القديمة)</x:v>
      </x:c>
      <x:c r="D72" s="21"/>
      <x:c r="E72" s="21"/>
      <x:c r="F72" s="21" t="str">
        <x:v>needs_geospatial_verification</x:v>
      </x:c>
      <x:c r="G72" s="27" t="b">
        <x:v>0</x:v>
      </x:c>
      <x:c r="H72" s="21" t="str">
        <x:v>[]</x:v>
      </x:c>
      <x:c r="I72" s="21" t="str">
        <x:v>BLOCKED</x:v>
      </x:c>
    </x:row>
    <x:row r="73">
      <x:c r="A73" s="21" t="str">
        <x:v>site-3ded44be126d</x:v>
      </x:c>
      <x:c r="B73" s="21" t="str">
        <x:v>hmm-lsmr-3ded44</x:v>
      </x:c>
      <x:c r="C73" s="21" t="str">
        <x:v>حمام السمرة</x:v>
      </x:c>
      <x:c r="D73" s="21"/>
      <x:c r="E73" s="21"/>
      <x:c r="F73" s="21" t="str">
        <x:v>needs_geospatial_verification</x:v>
      </x:c>
      <x:c r="G73" s="27" t="b">
        <x:v>0</x:v>
      </x:c>
      <x:c r="H73" s="21" t="str">
        <x:v>[]</x:v>
      </x:c>
      <x:c r="I73" s="21" t="str">
        <x:v>BLOCKED</x:v>
      </x:c>
    </x:row>
    <x:row r="74">
      <x:c r="A74" s="21" t="str">
        <x:v>site-5e98cf44d976</x:v>
      </x:c>
      <x:c r="B74" s="21" t="str">
        <x:v>ql-brqwq-5e98cf</x:v>
      </x:c>
      <x:c r="C74" s="21" t="str">
        <x:v>قلعة برقوق</x:v>
      </x:c>
      <x:c r="D74" s="21"/>
      <x:c r="E74" s="21"/>
      <x:c r="F74" s="21" t="str">
        <x:v>needs_geospatial_verification</x:v>
      </x:c>
      <x:c r="G74" s="27" t="b">
        <x:v>0</x:v>
      </x:c>
      <x:c r="H74" s="21" t="str">
        <x:v>[]</x:v>
      </x:c>
      <x:c r="I74" s="21" t="str">
        <x:v>BLOCKED</x:v>
      </x:c>
    </x:row>
    <x:row r="75">
      <x:c r="A75" s="21" t="str">
        <x:v>site-e1e3de7b8519</x:v>
      </x:c>
      <x:c r="B75" s="21" t="str">
        <x:v>knys-lqdys-brfyryws-e1e3de</x:v>
      </x:c>
      <x:c r="C75" s="21" t="str">
        <x:v>كنيسة القديس برفيريوس</x:v>
      </x:c>
      <x:c r="D75" s="21"/>
      <x:c r="E75" s="21"/>
      <x:c r="F75" s="21" t="str">
        <x:v>needs_geospatial_verification</x:v>
      </x:c>
      <x:c r="G75" s="27" t="b">
        <x:v>0</x:v>
      </x:c>
      <x:c r="H75" s="21" t="str">
        <x:v>[{"candidate_coordinate_id": "W3-COORD-PORPHYRIOS-001", "canonical_site_id": "site-e1e3de7b8519", "latitude": 31.5033333333, "longitude": 34.4622222222, "source_id": "W3-AUTH-UNESCO-GAZA-HISTORIC-CENTRE-2026", "source_notation": "N31 30 12 E34 27 44", "candidate_type": "state_party_monument_reference_point", "verification_status": "SOURCE_TRACED_NOT_INDEPENDENTLY_VERIFIED", "direct_map_use": "BLOCKED", "promotion_status": "NOT_PROMOTED", "human_geospatial_review": "PENDING"}]</x:v>
      </x:c>
      <x:c r="I75" s="21" t="str">
        <x:v>BLOCKED</x:v>
      </x:c>
    </x:row>
    <x:row r="76">
      <x:c r="A76" s="21" t="str">
        <x:v>site-015f495c4236</x:v>
      </x:c>
      <x:c r="B76" s="21" t="str">
        <x:v>mdyn-gz-lqdym-015f49</x:v>
      </x:c>
      <x:c r="C76" s="21" t="str">
        <x:v>مدينة غزة القديمة</x:v>
      </x:c>
      <x:c r="D76" s="21"/>
      <x:c r="E76" s="21"/>
      <x:c r="F76" s="21" t="str">
        <x:v>needs_geospatial_verification</x:v>
      </x:c>
      <x:c r="G76" s="27" t="b">
        <x:v>0</x:v>
      </x:c>
      <x:c r="H76" s="21" t="str">
        <x:v>[{"candidate_coordinate_id": "W3-COORD-GAZA-HISTORIC-CENTRE-001", "canonical_site_id": "site-015f495c4236", "latitude": 31.5049611111, "longitude": 34.4641, "source_id": "W3-AUTH-UNESCO-GAZA-HISTORIC-CENTRE-2026", "source_notation": "N31 30 17.86 E34 27 50.76", "candidate_type": "state_party_property_reference_point", "verification_status": "SOURCE_TRACED_NOT_INDEPENDENTLY_VERIFIED", "direct_map_use": "BLOCKED", "promotion_status": "NOT_PROMOTED", "human_geospatial_review": "PENDING"}]</x:v>
      </x:c>
      <x:c r="I76" s="21" t="str">
        <x:v>BLOCKED</x:v>
      </x:c>
    </x:row>
    <x:row r="77">
      <x:c r="A77" s="21" t="str">
        <x:v>site-a77381cd3cae</x:v>
      </x:c>
      <x:c r="B77" s="21" t="str">
        <x:v>mqm-lshykh-rdwn-a77381</x:v>
      </x:c>
      <x:c r="C77" s="21" t="str">
        <x:v>مقام الشيخ رضوان</x:v>
      </x:c>
      <x:c r="D77" s="21"/>
      <x:c r="E77" s="21"/>
      <x:c r="F77" s="21" t="str">
        <x:v>needs_geospatial_verification</x:v>
      </x:c>
      <x:c r="G77" s="27" t="b">
        <x:v>0</x:v>
      </x:c>
      <x:c r="H77" s="21" t="str">
        <x:v>[]</x:v>
      </x:c>
      <x:c r="I77" s="21" t="str">
        <x:v>BLOCKED</x:v>
      </x:c>
    </x:row>
    <x:row r="78">
      <x:c r="A78" s="21" t="str">
        <x:v>site-99f520b3d607</x:v>
      </x:c>
      <x:c r="B78" s="21" t="str">
        <x:v>myn-gz-lqdym-l-nt-99f520</x:v>
      </x:c>
      <x:c r="C78" s="21" t="str">
        <x:v>ميناء غزة القديم (الأنطة)</x:v>
      </x:c>
      <x:c r="D78" s="21"/>
      <x:c r="E78" s="21"/>
      <x:c r="F78" s="21" t="str">
        <x:v>needs_geospatial_verification</x:v>
      </x:c>
      <x:c r="G78" s="27" t="b">
        <x:v>0</x:v>
      </x:c>
      <x:c r="H78" s="21" t="str">
        <x:v>[]</x:v>
      </x:c>
      <x:c r="I78" s="21" t="str">
        <x:v>BLOCKED</x:v>
      </x:c>
    </x:row>
    <x:row r="79">
      <x:c r="A79" s="21" t="str">
        <x:v>site-0a78d22c1a69</x:v>
      </x:c>
      <x:c r="B79" s="21" t="str">
        <x:v>khn-ywns-lqdym-0a78d2</x:v>
      </x:c>
      <x:c r="C79" s="21" t="str">
        <x:v>خان يونس القديم</x:v>
      </x:c>
      <x:c r="D79" s="21"/>
      <x:c r="E79" s="21"/>
      <x:c r="F79" s="21" t="str">
        <x:v>needs_geospatial_verification</x:v>
      </x:c>
      <x:c r="G79" s="27" t="b">
        <x:v>0</x:v>
      </x:c>
      <x:c r="H79" s="21" t="str">
        <x:v>[]</x:v>
      </x:c>
      <x:c r="I79" s="21" t="str">
        <x:v>BLOCKED</x:v>
      </x:c>
    </x:row>
    <x:row r="80">
      <x:c r="A80" s="21" t="str">
        <x:v>site-ee0e5bf1f753</x:v>
      </x:c>
      <x:c r="B80" s="21" t="str">
        <x:v>rfh-ltrykhy-ee0e5b</x:v>
      </x:c>
      <x:c r="C80" s="21" t="str">
        <x:v>رفح التاريخية</x:v>
      </x:c>
      <x:c r="D80" s="21"/>
      <x:c r="E80" s="21"/>
      <x:c r="F80" s="21" t="str">
        <x:v>needs_geospatial_verification</x:v>
      </x:c>
      <x:c r="G80" s="27" t="b">
        <x:v>0</x:v>
      </x:c>
      <x:c r="H80" s="21" t="str">
        <x:v>[]</x:v>
      </x:c>
      <x:c r="I80" s="21" t="str">
        <x:v>BLOCKED</x:v>
      </x:c>
    </x:row>
  </x:sheetData>
  <x:pageMargins left="0.7" right="0.7" top="0.75" bottom="0.75" header="0.3" footer="0.3"/>
  <x:tableParts count="1">
    <x:tablePart xmlns:r="http://schemas.openxmlformats.org/officeDocument/2006/relationships" r:id="Rbceffbf0f862419c"/>
  </x:tableParts>
</x:worksheet>
</file>

<file path=xl/worksheets/sheet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38" hidden="0" customWidth="1"/>
    <x:col min="5" max="5" width="38" hidden="0" customWidth="1"/>
  </x:cols>
  <x:sheetData>
    <x:row r="1">
      <x:c r="A1" s="14" t="str">
        <x:v>date</x:v>
      </x:c>
      <x:c r="B1" s="14" t="str">
        <x:v>stage</x:v>
      </x:c>
      <x:c r="C1" s="14" t="str">
        <x:v>result</x:v>
      </x:c>
      <x:c r="D1" s="14" t="str">
        <x:v>summary_ar</x:v>
      </x:c>
      <x:c r="E1" s="14" t="str">
        <x:v>evidence</x:v>
      </x:c>
    </x:row>
    <x:row r="2">
      <x:c r="A2" s="21" t="str">
        <x:v>2026-07-13</x:v>
      </x:c>
      <x:c r="B2" s="21" t="str">
        <x:v>PROJECT_FOUNDATION</x:v>
      </x:c>
      <x:c r="C2" s="21" t="str">
        <x:v>PASS</x:v>
      </x:c>
      <x:c r="D2" s="21" t="str">
        <x:v>اعتماد هوية المشروع والدليل الشامل ونموذج الحوكمة ومبدأ الرواية الفلسطينية المرتبطة بالمصادر.</x:v>
      </x:c>
      <x:c r="E2" s="21" t="str">
        <x:v>PAL_EYES_PROJECT_COMPREHENSIVE_GUIDE.md</x:v>
      </x:c>
    </x:row>
    <x:row r="3">
      <x:c r="A3" s="21" t="str">
        <x:v>2026-07-14</x:v>
      </x:c>
      <x:c r="B3" s="21" t="str">
        <x:v>FLUTTER_RUNTIME_AND_BROWSER_UAT</x:v>
      </x:c>
      <x:c r="C3" s="21" t="str">
        <x:v>PASS</x:v>
      </x:c>
      <x:c r="D3" s="21" t="str">
        <x:v>إغلاق أساس Flutter والتوجيه والاختبارات والبناء وتشغيل Chrome، مع بقاء Supabase معطلاً.</x:v>
      </x:c>
      <x:c r="E3" s="21" t="str">
        <x:v>PAL_EYES_INITIAL_BROWSER_UAT_ACCEPTED_R1_0_2_20260714</x:v>
      </x:c>
    </x:row>
    <x:row r="4">
      <x:c r="A4" s="21" t="str">
        <x:v>2026-07-14</x:v>
      </x:c>
      <x:c r="B4" s="21" t="str">
        <x:v>FULL_DRAFT_CATALOG_R3</x:v>
      </x:c>
      <x:c r="C4" s="21" t="str">
        <x:v>PASS</x:v>
      </x:c>
      <x:c r="D4" s="21" t="str">
        <x:v>إدخال كتالوج مسودة من 79 موقعاً وسجل مصادر وتغطية المحافظات، من دون نشر أو تعديل قاعدة بيانات.</x:v>
      </x:c>
      <x:c r="E4" s="21" t="str">
        <x:v>PAL_EYES_FULL_DRAFT_SITE_CATALOG_SOURCE_REGISTRY_AND_GOVERNORATE_COVERAGE_R3_0_0_20260714</x:v>
      </x:c>
    </x:row>
    <x:row r="5">
      <x:c r="A5" s="21" t="str">
        <x:v>2026-07-15</x:v>
      </x:c>
      <x:c r="B5" s="21" t="str">
        <x:v>IMMERSIVE_PUBLIC_EXPERIENCE_R4</x:v>
      </x:c>
      <x:c r="C5" s="21" t="str">
        <x:v>PASS_WITH_R4_0_3_PENDING_LOCAL_CONFIRMATION_IN_PRIOR_TRACK</x:v>
      </x:c>
      <x:c r="D5" s="21" t="str">
        <x:v>اعتماد اتجاه بصري غامر: فلسطين تروى من المكان، مع إصلاحات الاختبارات والبطاقات البصرية.</x:v>
      </x:c>
      <x:c r="E5" s="21" t="str">
        <x:v>PAL_EYES_IMMERSIVE_PUBLIC_EXPERIENCE_AND_UNIFIED_PRODUCT_SURFACES_R4_0_3_20260715</x:v>
      </x:c>
    </x:row>
    <x:row r="6">
      <x:c r="A6" s="21" t="str">
        <x:v>2026-07-15</x:v>
      </x:c>
      <x:c r="B6" s="21" t="str">
        <x:v>DEEPSEEK_EXTERNAL_RESEARCH_REVIEW</x:v>
      </x:c>
      <x:c r="C6" s="21" t="str">
        <x:v>REJECTED_AS_COMPLETE_EXPORT</x:v>
      </x:c>
      <x:c r="D6" s="21" t="str">
        <x:v>رفض ادعاء الاكتمال والهوية غير الحاكمة، وحفظ المادة كملاحظات بحث خارجية غير متحققة فقط.</x:v>
      </x:c>
      <x:c r="E6" s="21" t="str">
        <x:v>PAL_EYES_DEEPSEEK_SCHEMA_6_1_TO_6_6_STOP_BATCHES_AND_REBUILD_REQUEST.md</x:v>
      </x:c>
    </x:row>
    <x:row r="7">
      <x:c r="A7" s="21" t="str">
        <x:v>2026-07-15</x:v>
      </x:c>
      <x:c r="B7" s="21" t="str">
        <x:v>SOVEREIGN_VERIFICATION_WAVES_1_TO_5</x:v>
      </x:c>
      <x:c r="C7" s="21" t="str">
        <x:v>PASS</x:v>
      </x:c>
      <x:c r="D7" s="21" t="str">
        <x:v>مراجعة جميع المواقع الحاكمة 79/79 ضمن خمس موجات مع إبقاء الاستيراد والنشر محظورين.</x:v>
      </x:c>
      <x:c r="E7" s="21" t="str">
        <x:v>PAL_EYES_SOVEREIGN_VERIFICATION_WAVE_1_TO_5</x:v>
      </x:c>
    </x:row>
    <x:row r="8">
      <x:c r="A8" s="21" t="str">
        <x:v>2026-07-15</x:v>
      </x:c>
      <x:c r="B8" s="21" t="str">
        <x:v>CROSS_WAVE_RECONCILIATION</x:v>
      </x:c>
      <x:c r="C8" s="21" t="str">
        <x:v>PASS</x:v>
      </x:c>
      <x:c r="D8" s="21" t="str">
        <x:v>توحيد الهوية والمصادر والادعاءات والإحداثيات والعلاقات لجميع المواقع، وتحديد فروق الهوية والمكونات.</x:v>
      </x:c>
      <x:c r="E8" s="21" t="str">
        <x:v>PAL_EYES_CROSS_WAVE_UNIFIED_VERIFICATION_REGISTRY_V1.json</x:v>
      </x:c>
    </x:row>
    <x:row r="9">
      <x:c r="A9" s="21" t="str">
        <x:v>2026-07-15</x:v>
      </x:c>
      <x:c r="B9" s="21" t="str">
        <x:v>CORRECTED_CATALOG_CANDIDATE_R1_0_1</x:v>
      </x:c>
      <x:c r="C9" s="21" t="str">
        <x:v>PASS</x:v>
      </x:c>
      <x:c r="D9" s="21" t="str">
        <x:v>بناء مرشح مصحح غير مطبق من 79 سجلاً مع حفظ المعرّفات والـSlugs وعلاقات المكونات.</x:v>
      </x:c>
      <x:c r="E9" s="21" t="str">
        <x:v>PAL_EYES_CORRECTED_CANONICAL_CATALOG_CANDIDATE_R1_0_1_20260715.json</x:v>
      </x:c>
    </x:row>
    <x:row r="10">
      <x:c r="A10" s="21" t="str">
        <x:v>2026-07-15</x:v>
      </x:c>
      <x:c r="B10" s="21" t="str">
        <x:v>CLAIM_AND_BIBLIOGRAPHIC_CLOSURE</x:v>
      </x:c>
      <x:c r="C10" s="21" t="str">
        <x:v>PASS</x:v>
      </x:c>
      <x:c r="D10" s="21" t="str">
        <x:v>إغلاق نطاق 96/96 من الادعاءات المؤكدة بعد استبدال ادعاء تل الفارعة بصياغة أضيق.</x:v>
      </x:c>
      <x:c r="E10" s="21" t="str">
        <x:v>PAL_EYES_CONFIRMED_CLAIM_SCOPE_CLOSURE_REGISTRY_R1_0_1_V1.json</x:v>
      </x:c>
    </x:row>
    <x:row r="11">
      <x:c r="A11" s="21" t="str">
        <x:v>2026-07-15</x:v>
      </x:c>
      <x:c r="B11" s="21" t="str">
        <x:v>ARABIC_EDITORIAL_AND_HISTORICAL_REVIEW</x:v>
      </x:c>
      <x:c r="C11" s="21" t="str">
        <x:v>PASS_WITH_LIMITED_HOLDS</x:v>
      </x:c>
      <x:c r="D11" s="21" t="str">
        <x:v>إعداد 96 صياغة عربية، واعتماد 92 سجلاً في خط أساس تحريري داخلي، مع سجلين تعارض هوية وسجلين سياق بحث.</x:v>
      </x:c>
      <x:c r="E11" s="21" t="str">
        <x:v>PAL_EYES_HISTORICALLY_REVIEWED_ARABIC_EDITORIAL_BASELINE_CANDIDATE_V1.json</x:v>
      </x:c>
    </x:row>
    <x:row r="12">
      <x:c r="A12" s="21" t="str">
        <x:v>2026-07-15</x:v>
      </x:c>
      <x:c r="B12" s="21" t="str">
        <x:v>RIGHTS_AND_ASSET_STATE</x:v>
      </x:c>
      <x:c r="C12" s="21" t="str">
        <x:v>TRIAGE_PASS_ASSET_INVENTORY_EMPTY</x:v>
      </x:c>
      <x:c r="D12" s="21" t="str">
        <x:v>فرز حقوق 77 مصدراً، وعدم اعتماد أي صورة أو خريطة؛ فتح إدخال وسائط محكوم.</x:v>
      </x:c>
      <x:c r="E12" s="21" t="str">
        <x:v>PAL_EYES_SOURCE_RIGHTS_TRIAGE_REGISTRY_R1_0_1_V1.json</x:v>
      </x:c>
    </x:row>
    <x:row r="13">
      <x:c r="A13" s="21" t="str">
        <x:v>2026-07-15</x:v>
      </x:c>
      <x:c r="B13" s="21" t="str">
        <x:v>HELD_CLAIM_BACKLOG_AND_P0</x:v>
      </x:c>
      <x:c r="C13" s="21" t="str">
        <x:v>PASS</x:v>
      </x:c>
      <x:c r="D13" s="21" t="str">
        <x:v>ترتيب 211 ادعاءً معلقاً، وتنفيذ موجة P0 للادعاءات الـ37، وفتح 27 طلب دليل ميداني/قانوني/GIS/مصادر.</x:v>
      </x:c>
      <x:c r="E13" s="21" t="str">
        <x:v>PAL_EYES_P0_FIELD_LEGAL_IDENTITY_EVIDENCE_COLLECTION_REGISTRY_V1.json</x:v>
      </x:c>
    </x:row>
    <x:row r="14">
      <x:c r="A14" s="21" t="str">
        <x:v>2026-07-15</x:v>
      </x:c>
      <x:c r="B14" s="21" t="str">
        <x:v>VERIFICATION_PHASE_1_STOP_POINT</x:v>
      </x:c>
      <x:c r="C14" s="21" t="str">
        <x:v>REACHED</x:v>
      </x:c>
      <x:c r="D14" s="21" t="str">
        <x:v>إنهاء التحقق الاستنزافي قبل اعتماد صفحات التطوير؛ اعتماد المصادر و92 سجلاً تحريرياً الآن، مع استمرار البحث والحقوق بالتوازي.</x:v>
      </x:c>
      <x:c r="E14" s="21" t="str">
        <x:v>USER_GOVERNING_DECISION_20260715</x:v>
      </x:c>
    </x:row>
    <x:row r="15" ht="36" customHeight="1">
      <x:c r="A15" s="20" t="str">
        <x:v>2026-08-02</x:v>
      </x:c>
      <x:c r="B15" s="20" t="str">
        <x:v>R8_0_2_MEDIA_STAGE_RUNTIME_CLOSURE</x:v>
      </x:c>
      <x:c r="C15" s="20" t="str">
        <x:v>PASS_RUNTIME_SMOKE_VISUAL_UAT_PENDING</x:v>
      </x:c>
      <x:c r="D15" s="20" t="str">
        <x:v>إغلاق Stack غير محدود ونجاح الفاحص وAnalyzer و58 اختباراً وتشغيل Chrome دون عودة الانهيار.</x:v>
      </x:c>
      <x:c r="E15" s="20" t="str">
        <x:v>PAL_EYES_PUBLIC_EXPERIENCE_MEDIA_STAGE_BOUNDED_LAYOUT_R8_0_2_20260802</x:v>
      </x:c>
    </x:row>
    <x:row r="16" ht="36" customHeight="1">
      <x:c r="A16" s="20" t="str">
        <x:v>2026-08-02</x:v>
      </x:c>
      <x:c r="B16" s="20" t="str">
        <x:v>FIGMA_TRANSLATION_EXPERIMENT</x:v>
      </x:c>
      <x:c r="C16" s="20" t="str">
        <x:v>CLOSED_NON_AUTHORITATIVE</x:v>
      </x:c>
      <x:c r="D16" s="20" t="str">
        <x:v>حفظ بنية Figma وإلغاء صفتها الإلزامية لأن واجهات Flutter المقبولة أقوى بصرياً.</x:v>
      </x:c>
      <x:c r="E16" s="20" t="str">
        <x:v>MEGA_BATCH_PAL_EYES_FIGMA_DESIGN_SYSTEM_AND_PUBLIC_EXPERIENCE_TRANSLATION_V1</x:v>
      </x:c>
    </x:row>
    <x:row r="17" ht="36" customHeight="1">
      <x:c r="A17" s="20" t="str">
        <x:v>2026-08-02</x:v>
      </x:c>
      <x:c r="B17" s="20" t="str">
        <x:v>DIRECT_FLUTTER_PUBLIC_EXPERIENCE_R9</x:v>
      </x:c>
      <x:c r="C17" s="20" t="str">
        <x:v>BUILT_PENDING_LOCAL_UAT</x:v>
      </x:c>
      <x:c r="D17" s="20" t="str">
        <x:v>هوية أطلس/متحف/مجلة وافتتاحيات تحريرية وبوصلة محتوى ودليل فصول وتجربة خريطة fail-closed مفيدة.</x:v>
      </x:c>
      <x:c r="E17" s="20" t="str">
        <x:v>PAL_EYES_DIRECT_FLUTTER_PUBLIC_EXPERIENCE_MATURITY_R9_0_0_20260802</x:v>
      </x:c>
    </x:row>
  </x:sheetData>
  <x:pageMargins left="0.7" right="0.7" top="0.75" bottom="0.75" header="0.3" footer="0.3"/>
  <x:tableParts count="1">
    <x:tablePart xmlns:r="http://schemas.openxmlformats.org/officeDocument/2006/relationships" r:id="R591463265e1a4344"/>
  </x:tableParts>
</x:worksheet>
</file>

<file path=xl/worksheets/sheet9.xml><?xml version="1.0" encoding="utf-8"?>
<x:worksheet xmlns:x="http://schemas.openxmlformats.org/spreadsheetml/2006/main">
  <x:sheetFormatPr defaultRowHeight="15"/>
  <x:cols>
    <x:col min="1" max="1" width="42" hidden="0" customWidth="1"/>
    <x:col min="2" max="2" width="42" hidden="0" customWidth="1"/>
    <x:col min="3" max="3" width="42" hidden="0" customWidth="1"/>
    <x:col min="4" max="4" width="42" hidden="0" customWidth="1"/>
  </x:cols>
  <x:sheetData>
    <x:row r="1">
      <x:c r="A1" s="14" t="str">
        <x:v>البوابة</x:v>
      </x:c>
      <x:c r="B1" s="14" t="str">
        <x:v>المطلوب</x:v>
      </x:c>
      <x:c r="C1" s="14" t="str">
        <x:v>الحالة الحالية</x:v>
      </x:c>
      <x:c r="D1" s="14" t="str">
        <x:v>نتيجة UAT</x:v>
      </x:c>
    </x:row>
    <x:row r="2">
      <x:c r="A2" s="21" t="str">
        <x:v>Static verify</x:v>
      </x:c>
      <x:c r="B2" s="21" t="str">
        <x:v>79/57/22/92/95/211 exact</x:v>
      </x:c>
      <x:c r="C2" s="21" t="str">
        <x:v>READY</x:v>
      </x:c>
      <x:c r="D2" s="21" t="str"/>
    </x:row>
    <x:row r="3">
      <x:c r="A3" s="21" t="str">
        <x:v>Analyze</x:v>
      </x:c>
      <x:c r="B3" s="21" t="str">
        <x:v>No issues found</x:v>
      </x:c>
      <x:c r="C3" s="21" t="str">
        <x:v>PENDING_LOCAL</x:v>
      </x:c>
      <x:c r="D3" s="21" t="str"/>
    </x:row>
    <x:row r="4">
      <x:c r="A4" s="21" t="str">
        <x:v>Tests</x:v>
      </x:c>
      <x:c r="B4" s="21" t="str">
        <x:v>All tests passed</x:v>
      </x:c>
      <x:c r="C4" s="21" t="str">
        <x:v>PENDING_LOCAL</x:v>
      </x:c>
      <x:c r="D4" s="21" t="str"/>
    </x:row>
    <x:row r="5">
      <x:c r="A5" s="21" t="str">
        <x:v>Governed page</x:v>
      </x:c>
      <x:c r="B5" s="21" t="str">
        <x:v>Reviewed narrative + linked sources</x:v>
      </x:c>
      <x:c r="C5" s="21" t="str">
        <x:v>READY</x:v>
      </x:c>
      <x:c r="D5" s="21" t="str"/>
    </x:row>
    <x:row r="6">
      <x:c r="A6" s="21" t="str">
        <x:v>Limited page</x:v>
      </x:c>
      <x:c r="B6" s="21" t="str">
        <x:v>No raw historical narrative</x:v>
      </x:c>
      <x:c r="C6" s="21" t="str">
        <x:v>READY</x:v>
      </x:c>
      <x:c r="D6" s="21" t="str"/>
    </x:row>
    <x:row r="7">
      <x:c r="A7" s="21" t="str">
        <x:v>Sources</x:v>
      </x:c>
      <x:c r="B7" s="21" t="str">
        <x:v>Rights states visible</x:v>
      </x:c>
      <x:c r="C7" s="21" t="str">
        <x:v>READY</x:v>
      </x:c>
      <x:c r="D7" s="21" t="str"/>
    </x:row>
    <x:row r="8">
      <x:c r="A8" s="21" t="str">
        <x:v>Research workspace</x:v>
      </x:c>
      <x:c r="B8" s="21" t="str">
        <x:v>211 held claims visible</x:v>
      </x:c>
      <x:c r="C8" s="21" t="str">
        <x:v>READY</x:v>
      </x:c>
      <x:c r="D8" s="21" t="str"/>
    </x:row>
    <x:row r="9">
      <x:c r="A9" s="21" t="str">
        <x:v>Public map</x:v>
      </x:c>
      <x:c r="B9" s="21" t="str">
        <x:v>0 public coordinates</x:v>
      </x:c>
      <x:c r="C9" s="21" t="str">
        <x:v>READY</x:v>
      </x:c>
      <x:c r="D9" s="21" t="str"/>
    </x:row>
    <x:row r="10">
      <x:c r="A10" s="21" t="str">
        <x:v>Media</x:v>
      </x:c>
      <x:c r="B10" s="21" t="str">
        <x:v>0 unapproved assets</x:v>
      </x:c>
      <x:c r="C10" s="21" t="str">
        <x:v>READY</x:v>
      </x:c>
      <x:c r="D10" s="21" t="str"/>
    </x:row>
    <x:row r="11">
      <x:c r="A11" s="21" t="str">
        <x:v>Database</x:v>
      </x:c>
      <x:c r="B11" s="21" t="str">
        <x:v>No writes</x:v>
      </x:c>
      <x:c r="C11" s="21" t="str">
        <x:v>BLOCKED</x:v>
      </x:c>
      <x:c r="D11" s="21" t="str"/>
    </x:row>
    <x:row r="12">
      <x:c r="A12" s="21" t="str">
        <x:v>Publication</x:v>
      </x:c>
      <x:c r="B12" s="21" t="str">
        <x:v>No public approval</x:v>
      </x:c>
      <x:c r="C12" s="21" t="str">
        <x:v>BLOCKED</x:v>
      </x:c>
      <x:c r="D12" s="21" t="str"/>
    </x:row>
    <x:row r="13">
      <x:c r="A13" s="20" t="str">
        <x:v>Runtime boundary</x:v>
      </x:c>
      <x:c r="B13" s="20" t="str">
        <x:v>No ListTile/ColoredBox assertion</x:v>
      </x:c>
      <x:c r="C13" s="20" t="str">
        <x:v>REPAIRED</x:v>
      </x:c>
      <x:c r="D13" s="20" t="str"/>
    </x:row>
    <x:row r="14">
      <x:c r="A14" s="20" t="str">
        <x:v>Source contract</x:v>
      </x:c>
      <x:c r="B14" s="20" t="str">
        <x:v>Exact local snapshot accepted</x:v>
      </x:c>
      <x:c r="C14" s="20" t="str">
        <x:v>READY</x:v>
      </x:c>
      <x:c r="D14" s="20" t="str"/>
    </x:row>
    <x:row r="15">
      <x:c r="A15" s="20" t="str">
        <x:v>Superseded package</x:v>
      </x:c>
      <x:c r="B15" s="20" t="str">
        <x:v>MEGA_BATCH_PAL_EYES_GOVERNED_CONTENT_ADOPTION_TO_PROJECT_PAGES_V1_20260715_BUILT_APPLY_PACKAGE.zip</x:v>
      </x:c>
      <x:c r="C15" s="20" t="str">
        <x:v>DO_NOT_USE</x:v>
      </x:c>
      <x:c r="D15" s="20" t="str"/>
    </x:row>
    <x:row r="16">
      <x:c r="A16" s="20" t="str">
        <x:v>Legacy narrative metric</x:v>
      </x:c>
      <x:c r="B16" s="20" t="str">
        <x:v>47 raw expanded narratives</x:v>
      </x:c>
      <x:c r="C16" s="20" t="str">
        <x:v>REPAIRED</x:v>
      </x:c>
      <x:c r="D16" s="20" t="str"/>
    </x:row>
    <x:row r="17">
      <x:c r="A17" s="20" t="str">
        <x:v>Governed page metric</x:v>
      </x:c>
      <x:c r="B17" s="20" t="str">
        <x:v>57 governed draft pages</x:v>
      </x:c>
      <x:c r="C17" s="20" t="str">
        <x:v>PRESERVED</x:v>
      </x:c>
      <x:c r="D17" s="20" t="str"/>
    </x:row>
    <x:row r="18">
      <x:c r="A18" s="20" t="str">
        <x:v>ExpansionTile canvas</x:v>
      </x:c>
      <x:c r="B18" s="20" t="str">
        <x:v>Workspace root uses Material, not ColoredBox</x:v>
      </x:c>
      <x:c r="C18" s="20" t="str">
        <x:v>REPAIRED</x:v>
      </x:c>
      <x:c r="D18" s="20" t="str"/>
    </x:row>
    <x:row r="19">
      <x:c r="A19" s="20" t="str">
        <x:v>Runtime assertion</x:v>
      </x:c>
      <x:c r="B19" s="20" t="str">
        <x:v>No ListTile background/ink hidden by ColoredBox</x:v>
      </x:c>
      <x:c r="C19" s="20" t="str">
        <x:v>PENDING_CHROME_UAT</x:v>
      </x:c>
      <x:c r="D19" s="20" t="str"/>
    </x:row>
    <x:row r="20">
      <x:c r="A20" s="20" t="str">
        <x:v>Original source</x:v>
      </x:c>
      <x:c r="B20" s="20" t="str">
        <x:v>SHA-256 and 5334 lines exact</x:v>
      </x:c>
      <x:c r="C20" s="20" t="str">
        <x:v>READY</x:v>
      </x:c>
      <x:c r="D20" s="20" t="str"/>
    </x:row>
    <x:row r="21">
      <x:c r="A21" s="20" t="str">
        <x:v>Original draft layers</x:v>
      </x:c>
      <x:c r="B21" s="20" t="str">
        <x:v>79 site layers</x:v>
      </x:c>
      <x:c r="C21" s="20" t="str">
        <x:v>READY</x:v>
      </x:c>
      <x:c r="D21" s="20" t="str"/>
    </x:row>
    <x:row r="22">
      <x:c r="A22" s="20" t="str">
        <x:v>Expanded originals</x:v>
      </x:c>
      <x:c r="B22" s="20" t="str">
        <x:v>47 narratives</x:v>
      </x:c>
      <x:c r="C22" s="20" t="str">
        <x:v>READY</x:v>
      </x:c>
      <x:c r="D22" s="20" t="str"/>
    </x:row>
    <x:row r="23">
      <x:c r="A23" s="20" t="str">
        <x:v>Original summaries</x:v>
      </x:c>
      <x:c r="B23" s="20" t="str">
        <x:v>32 catalog cards</x:v>
      </x:c>
      <x:c r="C23" s="20" t="str">
        <x:v>READY</x:v>
      </x:c>
      <x:c r="D23" s="20" t="str"/>
    </x:row>
    <x:row r="24">
      <x:c r="A24" s="20" t="str">
        <x:v>Dual page surface</x:v>
      </x:c>
      <x:c r="B24" s="20" t="str">
        <x:v>Governed and original are separate</x:v>
      </x:c>
      <x:c r="C24" s="20" t="str">
        <x:v>READY</x:v>
      </x:c>
      <x:c r="D24" s="20" t="str"/>
    </x:row>
    <x:row r="25">
      <x:c r="A25" s="20" t="str">
        <x:v>Public release</x:v>
      </x:c>
      <x:c r="B25" s="20" t="str">
        <x:v>Original draft hidden outside Debug</x:v>
      </x:c>
      <x:c r="C25" s="20" t="str">
        <x:v>BLOCKED</x:v>
      </x:c>
      <x:c r="D25" s="20" t="str"/>
    </x:row>
    <x:row r="26">
      <x:c r="A26" s="20" t="str">
        <x:v>Source contract parent</x:v>
      </x:c>
      <x:c r="B26" s="20" t="str">
        <x:v>Current local R5.1.3</x:v>
      </x:c>
      <x:c r="C26" s="20" t="str">
        <x:v>REPAIRED</x:v>
      </x:c>
      <x:c r="D26" s="20" t="str"/>
    </x:row>
    <x:row r="27">
      <x:c r="A27" s="20" t="str">
        <x:v>Dual metric test</x:v>
      </x:c>
      <x:c r="B27" s="20" t="str">
        <x:v>47 original / 57 governed / 22 limited</x:v>
      </x:c>
      <x:c r="C27" s="20" t="str">
        <x:v>REPAIRED</x:v>
      </x:c>
      <x:c r="D27" s="20" t="str"/>
    </x:row>
    <x:row r="28">
      <x:c r="A28" s="20" t="str">
        <x:v>Compile verifier</x:v>
      </x:c>
      <x:c r="B28" s="20" t="str">
        <x:v>Formatter-tolerant semantic checks</x:v>
      </x:c>
      <x:c r="C28" s="20" t="str">
        <x:v>REPAIRED</x:v>
      </x:c>
      <x:c r="D28" s="20" t="str"/>
    </x:row>
    <x:row r="29">
      <x:c r="A29" s="20" t="str">
        <x:v>R5.2.0 rollback</x:v>
      </x:c>
      <x:c r="B29" s="20" t="str">
        <x:v>Not required; no files copied</x:v>
      </x:c>
      <x:c r="C29" s="20" t="str">
        <x:v>NOT_REQUIRED</x:v>
      </x:c>
      <x:c r="D29" s="20" t="str"/>
    </x:row>
    <x:row r="30">
      <x:c r="A30" s="20" t="str">
        <x:v>Home gateways</x:v>
      </x:c>
      <x:c r="B30" s="20" t="str">
        <x:v>Places/Map/Timeline/Stories visible</x:v>
      </x:c>
      <x:c r="C30" s="20" t="str">
        <x:v>READY</x:v>
      </x:c>
      <x:c r="D30" s="20" t="str"/>
    </x:row>
    <x:row r="31">
      <x:c r="A31" s="20" t="str">
        <x:v>Today workspace</x:v>
      </x:c>
      <x:c r="B31" s="20" t="str">
        <x:v>Actionable priorities only</x:v>
      </x:c>
      <x:c r="C31" s="20" t="str">
        <x:v>READY</x:v>
      </x:c>
      <x:c r="D31" s="20" t="str"/>
    </x:row>
    <x:row r="32">
      <x:c r="A32" s="20" t="str">
        <x:v>Site editor</x:v>
      </x:c>
      <x:c r="B32" s="20" t="str">
        <x:v>9-step task flow</x:v>
      </x:c>
      <x:c r="C32" s="20" t="str">
        <x:v>READY</x:v>
      </x:c>
      <x:c r="D32" s="20" t="str"/>
    </x:row>
    <x:row r="33">
      <x:c r="A33" s="20" t="str">
        <x:v>Source registry</x:v>
      </x:c>
      <x:c r="B33" s="20" t="str">
        <x:v>Search and status rows</x:v>
      </x:c>
      <x:c r="C33" s="20" t="str">
        <x:v>READY</x:v>
      </x:c>
      <x:c r="D33" s="20" t="str"/>
    </x:row>
    <x:row r="34">
      <x:c r="A34" s="20" t="str">
        <x:v>Claim workspace</x:v>
      </x:c>
      <x:c r="B34" s="20" t="str">
        <x:v>Claim as work unit</x:v>
      </x:c>
      <x:c r="C34" s="20" t="str">
        <x:v>READY</x:v>
      </x:c>
      <x:c r="D34" s="20" t="str"/>
    </x:row>
    <x:row r="35">
      <x:c r="A35" s="20" t="str">
        <x:v>GIS review</x:v>
      </x:c>
      <x:c r="B35" s="20" t="str">
        <x:v>Public/review coordinate separation</x:v>
      </x:c>
      <x:c r="C35" s="20" t="str">
        <x:v>READY</x:v>
      </x:c>
      <x:c r="D35" s="20" t="str"/>
    </x:row>
    <x:row r="36">
      <x:c r="A36" s="20" t="str">
        <x:v>Media rights</x:v>
      </x:c>
      <x:c r="B36" s="20" t="str">
        <x:v>6-step rights flow</x:v>
      </x:c>
      <x:c r="C36" s="20" t="str">
        <x:v>READY</x:v>
      </x:c>
      <x:c r="D36" s="20" t="str"/>
    </x:row>
    <x:row r="37">
      <x:c r="A37" s="20" t="str">
        <x:v>Release candidate</x:v>
      </x:c>
      <x:c r="B37" s="20" t="str">
        <x:v>Disabled until gates complete</x:v>
      </x:c>
      <x:c r="C37" s="20" t="str">
        <x:v>READY</x:v>
      </x:c>
      <x:c r="D37" s="20" t="str"/>
    </x:row>
    <x:row r="38">
      <x:c r="A38" s="20" t="str">
        <x:v>Audit log</x:v>
      </x:c>
      <x:c r="B38" s="20" t="str">
        <x:v>Decision timeline visible</x:v>
      </x:c>
      <x:c r="C38" s="20" t="str">
        <x:v>READY</x:v>
      </x:c>
      <x:c r="D38" s="20" t="str"/>
    </x:row>
    <x:row r="39">
      <x:c r="A39" s="20" t="str">
        <x:v>Publication</x:v>
      </x:c>
      <x:c r="B39" s="20" t="str">
        <x:v>No automatic publication</x:v>
      </x:c>
      <x:c r="C39" s="20" t="str">
        <x:v>BLOCKED</x:v>
      </x:c>
      <x:c r="D39" s="20" t="str"/>
    </x:row>
    <x:row r="41">
      <x:c r="A41" s="20" t="str">
        <x:v>Compile static</x:v>
      </x:c>
      <x:c r="B41" s="20" t="str">
        <x:v>All checks PASS</x:v>
      </x:c>
      <x:c r="C41" s="20" t="str">
        <x:v>READY</x:v>
      </x:c>
      <x:c r="D41" s="20" t="str"/>
    </x:row>
    <x:row r="42">
      <x:c r="A42" s="20" t="str">
        <x:v>Analyzer</x:v>
      </x:c>
      <x:c r="B42" s="20" t="str">
        <x:v>No issues found</x:v>
      </x:c>
      <x:c r="C42" s="20" t="str">
        <x:v>READY</x:v>
      </x:c>
      <x:c r="D42" s="20" t="str"/>
    </x:row>
    <x:row r="43">
      <x:c r="A43" s="20" t="str">
        <x:v>SiteCard boundary</x:v>
      </x:c>
      <x:c r="B43" s="20" t="str">
        <x:v>No 24px overflow</x:v>
      </x:c>
      <x:c r="C43" s="20" t="str">
        <x:v>READY</x:v>
      </x:c>
      <x:c r="D43" s="20" t="str"/>
    </x:row>
    <x:row r="44">
      <x:c r="A44" s="20" t="str">
        <x:v>Immersive home test</x:v>
      </x:c>
      <x:c r="B44" s="20" t="str">
        <x:v>No rendering exceptions</x:v>
      </x:c>
      <x:c r="C44" s="20" t="str">
        <x:v>READY</x:v>
      </x:c>
      <x:c r="D44" s="20" t="str"/>
    </x:row>
    <x:row r="45">
      <x:c r="A45" s="20" t="str">
        <x:v>Browser runtime</x:v>
      </x:c>
      <x:c r="B45" s="20" t="str">
        <x:v>Home/workspace/release control</x:v>
      </x:c>
      <x:c r="C45" s="20" t="str">
        <x:v>READY</x:v>
      </x:c>
      <x:c r="D45" s="20" t="str"/>
    </x:row>
    <x:row r="47">
      <x:c r="A47" s="20" t="str">
        <x:v>R6.0.2 WhatIf</x:v>
      </x:c>
      <x:c r="B47" s="20" t="str">
        <x:v>Source contract passes</x:v>
      </x:c>
      <x:c r="C47" s="20" t="str">
        <x:v>READY</x:v>
      </x:c>
      <x:c r="D47" s="20" t="str"/>
    </x:row>
    <x:row r="48">
      <x:c r="A48" s="20" t="str">
        <x:v>SiteCard exact test</x:v>
      </x:c>
      <x:c r="B48" s="20" t="str">
        <x:v>364×402 with no exception</x:v>
      </x:c>
      <x:c r="C48" s="20" t="str">
        <x:v>READY</x:v>
      </x:c>
      <x:c r="D48" s="20" t="str"/>
    </x:row>
    <x:row r="49">
      <x:c r="A49" s="20" t="str">
        <x:v>Flutter analyze</x:v>
      </x:c>
      <x:c r="B49" s="20" t="str">
        <x:v>No issues found</x:v>
      </x:c>
      <x:c r="C49" s="20" t="str">
        <x:v>READY</x:v>
      </x:c>
      <x:c r="D49" s="20" t="str"/>
    </x:row>
    <x:row r="50">
      <x:c r="A50" s="20" t="str">
        <x:v>Flutter test</x:v>
      </x:c>
      <x:c r="B50" s="20" t="str">
        <x:v>All tests passed</x:v>
      </x:c>
      <x:c r="C50" s="20" t="str">
        <x:v>READY</x:v>
      </x:c>
      <x:c r="D50" s="20" t="str"/>
    </x:row>
    <x:row r="52">
      <x:c r="A52" s="20" t="str">
        <x:v>R7.0.1 WhatIf</x:v>
      </x:c>
      <x:c r="B52" s="20" t="str">
        <x:v>Source contract passes</x:v>
      </x:c>
      <x:c r="C52" s="20" t="str">
        <x:v>READY</x:v>
      </x:c>
      <x:c r="D52" s="20" t="str"/>
    </x:row>
    <x:row r="53">
      <x:c r="A53" s="20" t="str">
        <x:v>Operational static</x:v>
      </x:c>
      <x:c r="B53" s="20" t="str">
        <x:v>All checks PASS</x:v>
      </x:c>
      <x:c r="C53" s="20" t="str">
        <x:v>READY</x:v>
      </x:c>
      <x:c r="D53" s="20" t="str"/>
    </x:row>
    <x:row r="54">
      <x:c r="A54" s="20" t="str">
        <x:v>Mapper runtime</x:v>
      </x:c>
      <x:c r="B54" s="20" t="str">
        <x:v>4 blocked coordinate candidates</x:v>
      </x:c>
      <x:c r="C54" s="20" t="str">
        <x:v>READY</x:v>
      </x:c>
      <x:c r="D54" s="20" t="str"/>
    </x:row>
    <x:row r="55">
      <x:c r="A55" s="20" t="str">
        <x:v>Flutter analyze</x:v>
      </x:c>
      <x:c r="B55" s="20" t="str">
        <x:v>No issues found</x:v>
      </x:c>
      <x:c r="C55" s="20" t="str">
        <x:v>READY</x:v>
      </x:c>
      <x:c r="D55" s="20" t="str"/>
    </x:row>
    <x:row r="56">
      <x:c r="A56" s="20" t="str">
        <x:v>Flutter test</x:v>
      </x:c>
      <x:c r="B56" s="20" t="str">
        <x:v>All tests passed</x:v>
      </x:c>
      <x:c r="C56" s="20" t="str">
        <x:v>READY</x:v>
      </x:c>
      <x:c r="D56" s="20" t="str"/>
    </x:row>
    <x:row r="57">
      <x:c r="A57" s="20" t="str">
        <x:v>Local workflow</x:v>
      </x:c>
      <x:c r="B57" s="20" t="str">
        <x:v>10 actions + audit events</x:v>
      </x:c>
      <x:c r="C57" s="20" t="str">
        <x:v>READY</x:v>
      </x:c>
      <x:c r="D57" s="20" t="str"/>
    </x:row>
    <x:row r="58">
      <x:c r="A58" s="20" t="str">
        <x:v>Database staging</x:v>
      </x:c>
      <x:c r="B58" s="20" t="str">
        <x:v>Not executed</x:v>
      </x:c>
      <x:c r="C58" s="20" t="str">
        <x:v>BLOCKED</x:v>
      </x:c>
      <x:c r="D58" s="20" t="str"/>
    </x:row>
    <x:row r="59">
      <x:c r="A59" s="20" t="str">
        <x:v>Media intake</x:v>
      </x:c>
      <x:c r="B59" s="20" t="str">
        <x:v>Rights and public use blocked</x:v>
      </x:c>
      <x:c r="C59" s="20" t="str">
        <x:v>READY</x:v>
      </x:c>
      <x:c r="D59" s="20" t="str"/>
    </x:row>
    <x:row r="60">
      <x:c r="A60" s="20" t="str">
        <x:v>R7.0.2 WhatIf</x:v>
      </x:c>
      <x:c r="B60" s="20" t="str">
        <x:v>Source contract passes</x:v>
      </x:c>
      <x:c r="C60" s="20" t="str">
        <x:v>READY</x:v>
      </x:c>
      <x:c r="D60" s="20" t="str"/>
    </x:row>
    <x:row r="61">
      <x:c r="A61" s="20" t="str">
        <x:v>Coordinate seed parity</x:v>
      </x:c>
      <x:c r="B61" s="20" t="str">
        <x:v>Exact four IDs</x:v>
      </x:c>
      <x:c r="C61" s="20" t="str">
        <x:v>READY</x:v>
      </x:c>
      <x:c r="D61" s="20" t="str"/>
    </x:row>
    <x:row r="62">
      <x:c r="A62" s="20" t="str">
        <x:v>GIS review tasks</x:v>
      </x:c>
      <x:c r="B62" s="20" t="str">
        <x:v>Four tasks</x:v>
      </x:c>
      <x:c r="C62" s="20" t="str">
        <x:v>READY</x:v>
      </x:c>
      <x:c r="D62" s="20" t="str"/>
    </x:row>
    <x:row r="63">
      <x:c r="A63" s="20" t="str">
        <x:v>Total initial tasks</x:v>
      </x:c>
      <x:c r="B63" s="20" t="str">
        <x:v>Sixteen tasks</x:v>
      </x:c>
      <x:c r="C63" s="20" t="str">
        <x:v>READY</x:v>
      </x:c>
      <x:c r="D63" s="20" t="str"/>
    </x:row>
    <x:row r="64">
      <x:c r="A64" s="20" t="str">
        <x:v>Flutter analyze</x:v>
      </x:c>
      <x:c r="B64" s="20" t="str">
        <x:v>No issues found</x:v>
      </x:c>
      <x:c r="C64" s="20" t="str">
        <x:v>READY</x:v>
      </x:c>
      <x:c r="D64" s="20" t="str"/>
    </x:row>
    <x:row r="65">
      <x:c r="A65" s="20" t="str">
        <x:v>Flutter test</x:v>
      </x:c>
      <x:c r="B65" s="20" t="str">
        <x:v>All tests passed</x:v>
      </x:c>
      <x:c r="C65" s="20" t="str">
        <x:v>READY</x:v>
      </x:c>
      <x:c r="D65" s="20" t="str"/>
    </x:row>
    <x:row r="66">
      <x:c r="A66" s="20" t="str">
        <x:v>Database staging</x:v>
      </x:c>
      <x:c r="B66" s="20" t="str">
        <x:v>Not executed</x:v>
      </x:c>
      <x:c r="C66" s="20" t="str">
        <x:v>BLOCKED</x:v>
      </x:c>
      <x:c r="D66" s="20" t="str"/>
    </x:row>
    <x:row r="68">
      <x:c r="A68" s="20" t="str">
        <x:v>R8.0.0 WhatIf</x:v>
      </x:c>
      <x:c r="B68" s="20" t="str">
        <x:v>Source contract passes</x:v>
      </x:c>
      <x:c r="C68" s="20" t="str">
        <x:v>READY</x:v>
      </x:c>
      <x:c r="D68" s="20" t="str"/>
    </x:row>
    <x:row r="69">
      <x:c r="A69" s="20" t="str">
        <x:v>Static verifier</x:v>
      </x:c>
      <x:c r="B69" s="20" t="str">
        <x:v>All public experience checks PASS</x:v>
      </x:c>
      <x:c r="C69" s="20" t="str">
        <x:v>READY</x:v>
      </x:c>
      <x:c r="D69" s="20" t="str"/>
    </x:row>
    <x:row r="70">
      <x:c r="A70" s="20" t="str">
        <x:v>Flutter analyze</x:v>
      </x:c>
      <x:c r="B70" s="20" t="str">
        <x:v>No issues found</x:v>
      </x:c>
      <x:c r="C70" s="20" t="str">
        <x:v>READY</x:v>
      </x:c>
      <x:c r="D70" s="20" t="str"/>
    </x:row>
    <x:row r="71">
      <x:c r="A71" s="20" t="str">
        <x:v>Flutter test</x:v>
      </x:c>
      <x:c r="B71" s="20" t="str">
        <x:v>All tests passed</x:v>
      </x:c>
      <x:c r="C71" s="20" t="str">
        <x:v>READY</x:v>
      </x:c>
      <x:c r="D71" s="20" t="str"/>
    </x:row>
    <x:row r="72">
      <x:c r="A72" s="20" t="str">
        <x:v>Desktop navigation</x:v>
      </x:c>
      <x:c r="B72" s="20" t="str">
        <x:v>Five clear primary paths</x:v>
      </x:c>
      <x:c r="C72" s="20" t="str">
        <x:v>READY</x:v>
      </x:c>
      <x:c r="D72" s="20" t="str"/>
    </x:row>
    <x:row r="73">
      <x:c r="A73" s="20" t="str">
        <x:v>Mobile navigation</x:v>
      </x:c>
      <x:c r="B73" s="20" t="str">
        <x:v>Four stable destinations</x:v>
      </x:c>
      <x:c r="C73" s="20" t="str">
        <x:v>READY</x:v>
      </x:c>
      <x:c r="D73" s="20" t="str"/>
    </x:row>
    <x:row r="74">
      <x:c r="A74" s="20" t="str">
        <x:v>Discovery</x:v>
      </x:c>
      <x:c r="B74" s="20" t="str">
        <x:v>Modes, filters, sort, empty state</x:v>
      </x:c>
      <x:c r="C74" s="20" t="str">
        <x:v>READY</x:v>
      </x:c>
      <x:c r="D74" s="20" t="str"/>
    </x:row>
    <x:row r="75">
      <x:c r="A75" s="20" t="str">
        <x:v>Map</x:v>
      </x:c>
      <x:c r="B75" s="20" t="str">
        <x:v>No unapproved public points</x:v>
      </x:c>
      <x:c r="C75" s="20" t="str">
        <x:v>READY</x:v>
      </x:c>
      <x:c r="D75" s="20" t="str"/>
    </x:row>
    <x:row r="76">
      <x:c r="A76" s="20" t="str">
        <x:v>Stories</x:v>
      </x:c>
      <x:c r="B76" s="20" t="str">
        <x:v>Open three long-form stories</x:v>
      </x:c>
      <x:c r="C76" s="20" t="str">
        <x:v>READY</x:v>
      </x:c>
      <x:c r="D76" s="20" t="str"/>
    </x:row>
    <x:row r="77">
      <x:c r="A77" s="20" t="str">
        <x:v>Place detail</x:v>
      </x:c>
      <x:c r="B77" s="20" t="str">
        <x:v>Museum opening + no workspace CTA</x:v>
      </x:c>
      <x:c r="C77" s="20" t="str">
        <x:v>READY</x:v>
      </x:c>
      <x:c r="D77" s="20" t="str"/>
    </x:row>
    <x:row r="78">
      <x:c r="A78" s="20" t="str">
        <x:v>Accessibility</x:v>
      </x:c>
      <x:c r="B78" s="20" t="str">
        <x:v>Keyboard, semantics, text scaling</x:v>
      </x:c>
      <x:c r="C78" s="20" t="str">
        <x:v>READY</x:v>
      </x:c>
      <x:c r="D78" s="20" t="str"/>
    </x:row>
    <x:row r="79">
      <x:c r="A79" s="20" t="str">
        <x:v>Loading/error states</x:v>
      </x:c>
      <x:c r="B79" s="20" t="str">
        <x:v>Visual and readable</x:v>
      </x:c>
      <x:c r="C79" s="20" t="str">
        <x:v>READY</x:v>
      </x:c>
      <x:c r="D79" s="20" t="str"/>
    </x:row>
    <x:row r="80">
      <x:c r="A80" s="20" t="str">
        <x:v>Database/production</x:v>
      </x:c>
      <x:c r="B80" s="20" t="str">
        <x:v>Not executed</x:v>
      </x:c>
      <x:c r="C80" s="20" t="str">
        <x:v>BLOCKED</x:v>
      </x:c>
      <x:c r="D80" s="20" t="str"/>
    </x:row>
    <x:row r="82">
      <x:c r="A82" s="20" t="str">
        <x:v>R8.0.1 WhatIf</x:v>
      </x:c>
      <x:c r="B82" s="20" t="str">
        <x:v>Source contract passes</x:v>
      </x:c>
      <x:c r="C82" s="20" t="str">
        <x:v>READY</x:v>
      </x:c>
      <x:c r="D82" s="20" t="str"/>
    </x:row>
    <x:row r="83">
      <x:c r="A83" s="20" t="str">
        <x:v>R8.0.1 static</x:v>
      </x:c>
      <x:c r="B83" s="20" t="str">
        <x:v>All checks PASS</x:v>
      </x:c>
      <x:c r="C83" s="20" t="str">
        <x:v>READY</x:v>
      </x:c>
      <x:c r="D83" s="20" t="str"/>
    </x:row>
    <x:row r="84">
      <x:c r="A84" s="20" t="str">
        <x:v>R6.0.1 verifier</x:v>
      </x:c>
      <x:c r="B84" s="20" t="str">
        <x:v>PASS with public label</x:v>
      </x:c>
      <x:c r="C84" s="20" t="str">
        <x:v>READY</x:v>
      </x:c>
      <x:c r="D84" s="20" t="str"/>
    </x:row>
    <x:row r="85">
      <x:c r="A85" s="20" t="str">
        <x:v>R6.0.2 verifier</x:v>
      </x:c>
      <x:c r="B85" s="20" t="str">
        <x:v>PASS with public label</x:v>
      </x:c>
      <x:c r="C85" s="20" t="str">
        <x:v>READY</x:v>
      </x:c>
      <x:c r="D85" s="20" t="str"/>
    </x:row>
    <x:row r="86">
      <x:c r="A86" s="20" t="str">
        <x:v>Flutter analyze</x:v>
      </x:c>
      <x:c r="B86" s="20" t="str">
        <x:v>No issues found</x:v>
      </x:c>
      <x:c r="C86" s="20" t="str">
        <x:v>READY</x:v>
      </x:c>
      <x:c r="D86" s="20" t="str"/>
    </x:row>
    <x:row r="87">
      <x:c r="A87" s="20" t="str">
        <x:v>Flutter test</x:v>
      </x:c>
      <x:c r="B87" s="20" t="str">
        <x:v>All tests passed</x:v>
      </x:c>
      <x:c r="C87" s="20" t="str">
        <x:v>READY</x:v>
      </x:c>
      <x:c r="D87" s="20" t="str"/>
    </x:row>
    <x:row r="88">
      <x:c r="A88" s="20" t="str">
        <x:v>Browser UAT</x:v>
      </x:c>
      <x:c r="B88" s="20" t="str">
        <x:v>Desktop/mobile/accessibility</x:v>
      </x:c>
      <x:c r="C88" s="20" t="str">
        <x:v>PENDING</x:v>
      </x:c>
      <x:c r="D88" s="20" t="str"/>
    </x:row>
    <x:row r="90" ht="30" customHeight="1">
      <x:c r="A90" s="94" t="str">
        <x:v>R8.0.2 runtime smoke</x:v>
      </x:c>
      <x:c r="B90" s="94" t="str">
        <x:v>No Stack size.isFinite cascade</x:v>
      </x:c>
      <x:c r="C90" s="94" t="str">
        <x:v>PASS</x:v>
      </x:c>
      <x:c r="D90" s="94"/>
    </x:row>
    <x:row r="91" ht="30" customHeight="1">
      <x:c r="A91" s="20" t="str">
        <x:v>R9.0.0 WhatIf</x:v>
      </x:c>
      <x:c r="B91" s="20" t="str">
        <x:v>Source contract passes</x:v>
      </x:c>
      <x:c r="C91" s="20" t="str">
        <x:v>READY</x:v>
      </x:c>
      <x:c r="D91" s="20"/>
    </x:row>
    <x:row r="92" ht="30" customHeight="1">
      <x:c r="A92" s="20" t="str">
        <x:v>R9.0.0 static</x:v>
      </x:c>
      <x:c r="B92" s="20" t="str">
        <x:v>All direct Flutter maturity checks PASS</x:v>
      </x:c>
      <x:c r="C92" s="20" t="str">
        <x:v>READY</x:v>
      </x:c>
      <x:c r="D92" s="20"/>
    </x:row>
    <x:row r="93" ht="30" customHeight="1">
      <x:c r="A93" s="20" t="str">
        <x:v>R9 widget tests</x:v>
      </x:c>
      <x:c r="B93" s="20" t="str">
        <x:v>390px RTL + desktop adaptation + no exception</x:v>
      </x:c>
      <x:c r="C93" s="20" t="str">
        <x:v>READY</x:v>
      </x:c>
      <x:c r="D93" s="20"/>
    </x:row>
    <x:row r="94" ht="30" customHeight="1">
      <x:c r="A94" s="20" t="str">
        <x:v>Flutter analyze</x:v>
      </x:c>
      <x:c r="B94" s="20" t="str">
        <x:v>No issues found</x:v>
      </x:c>
      <x:c r="C94" s="20" t="str">
        <x:v>PENDING_LOCAL</x:v>
      </x:c>
      <x:c r="D94" s="20"/>
    </x:row>
    <x:row r="95" ht="30" customHeight="1">
      <x:c r="A95" s="20" t="str">
        <x:v>Flutter test</x:v>
      </x:c>
      <x:c r="B95" s="20" t="str">
        <x:v>All tests passed</x:v>
      </x:c>
      <x:c r="C95" s="20" t="str">
        <x:v>PENDING_LOCAL</x:v>
      </x:c>
      <x:c r="D95" s="20"/>
    </x:row>
    <x:row r="96" ht="30" customHeight="1">
      <x:c r="A96" s="20" t="str">
        <x:v>Desktop visual UAT</x:v>
      </x:c>
      <x:c r="B96" s="20" t="str">
        <x:v>Atlas / museum / magazine hierarchy</x:v>
      </x:c>
      <x:c r="C96" s="20" t="str">
        <x:v>PENDING_LOCAL</x:v>
      </x:c>
      <x:c r="D96" s="20"/>
    </x:row>
    <x:row r="97" ht="30" customHeight="1">
      <x:c r="A97" s="20" t="str">
        <x:v>Mobile visual UAT</x:v>
      </x:c>
      <x:c r="B97" s="20" t="str">
        <x:v>390x844, no clipping or overflow</x:v>
      </x:c>
      <x:c r="C97" s="20" t="str">
        <x:v>PENDING_LOCAL</x:v>
      </x:c>
      <x:c r="D97" s="20"/>
    </x:row>
    <x:row r="98" ht="30" customHeight="1">
      <x:c r="A98" s="20" t="str">
        <x:v>RTL UAT</x:v>
      </x:c>
      <x:c r="B98" s="20" t="str">
        <x:v>Direction, icons, navigation and reading order</x:v>
      </x:c>
      <x:c r="C98" s="20" t="str">
        <x:v>PENDING_LOCAL</x:v>
      </x:c>
      <x:c r="D98" s="20"/>
    </x:row>
    <x:row r="99" ht="30" customHeight="1">
      <x:c r="A99" s="20" t="str">
        <x:v>Accessibility UAT</x:v>
      </x:c>
      <x:c r="B99" s="20" t="str">
        <x:v>Focus, keyboard, 125% and 150% zoom</x:v>
      </x:c>
      <x:c r="C99" s="20" t="str">
        <x:v>PENDING_LOCAL</x:v>
      </x:c>
      <x:c r="D99" s="20"/>
    </x:row>
    <x:row r="100" ht="30" customHeight="1">
      <x:c r="A100" s="20" t="str">
        <x:v>Runtime exceptions</x:v>
      </x:c>
      <x:c r="B100" s="20" t="str">
        <x:v>0</x:v>
      </x:c>
      <x:c r="C100" s="20" t="str">
        <x:v>PENDING_LOCAL</x:v>
      </x:c>
      <x:c r="D100" s="20"/>
    </x:row>
    <x:row r="101" ht="30" customHeight="1">
      <x:c r="A101" s="20" t="str">
        <x:v>Render overflows</x:v>
      </x:c>
      <x:c r="B101" s="20" t="str">
        <x:v>0</x:v>
      </x:c>
      <x:c r="C101" s="20" t="str">
        <x:v>PENDING_LOCAL</x:v>
      </x:c>
      <x:c r="D101" s="20"/>
    </x:row>
    <x:row r="102" ht="30" customHeight="1">
      <x:c r="A102" s="20" t="str">
        <x:v>Database / publication</x:v>
      </x:c>
      <x:c r="B102" s="20" t="str">
        <x:v>No write; no release</x:v>
      </x:c>
      <x:c r="C102" s="20" t="str">
        <x:v>BLOCKED</x:v>
      </x:c>
      <x:c r="D102" s="20"/>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34" hidden="0" customWidth="1"/>
    <x:col min="3" max="3" width="34" hidden="0" customWidth="1"/>
    <x:col min="4" max="4" width="22" hidden="0" customWidth="1"/>
    <x:col min="5" max="5" width="16" hidden="0" customWidth="1"/>
    <x:col min="6" max="6" width="18" hidden="0" customWidth="1"/>
    <x:col min="7" max="7" width="22" hidden="0" customWidth="1"/>
    <x:col min="8" max="8" width="18" hidden="0" customWidth="1"/>
    <x:col min="9" max="9" width="28" hidden="0" customWidth="1"/>
  </x:cols>
  <x:sheetData>
    <x:row r="1">
      <x:c r="A1" s="44" t="str">
        <x:v>site_id</x:v>
      </x:c>
      <x:c r="B1" s="44" t="str">
        <x:v>slug</x:v>
      </x:c>
      <x:c r="C1" s="44" t="str">
        <x:v>name_ar</x:v>
      </x:c>
      <x:c r="D1" s="44" t="str">
        <x:v>content_profile</x:v>
      </x:c>
      <x:c r="E1" s="44" t="str">
        <x:v>section_count</x:v>
      </x:c>
      <x:c r="F1" s="44" t="str">
        <x:v>source_mention_count</x:v>
      </x:c>
      <x:c r="G1" s="44" t="str">
        <x:v>development_visibility</x:v>
      </x:c>
      <x:c r="H1" s="44" t="str">
        <x:v>public_release</x:v>
      </x:c>
      <x:c r="I1" s="44" t="str">
        <x:v>verification_status</x:v>
      </x:c>
    </x:row>
    <x:row r="2">
      <x:c r="A2" s="20" t="str">
        <x:v>site-4aeec5656d1d</x:v>
      </x:c>
      <x:c r="B2" s="20" t="str">
        <x:v>lmsjd-l-qs-lmbrk-lhrm-lqdsy-lshryf-4aeec5</x:v>
      </x:c>
      <x:c r="C2" s="20" t="str">
        <x:v>المسجد الأقصى المبارك / الحرم القدسي الشريف</x:v>
      </x:c>
      <x:c r="D2" s="20" t="str">
        <x:v>expandedNarrative</x:v>
      </x:c>
      <x:c r="E2" s="20" t="n">
        <x:v>9</x:v>
      </x:c>
      <x:c r="F2" s="20" t="n">
        <x:v>1</x:v>
      </x:c>
      <x:c r="G2" s="20" t="str">
        <x:v>DEBUG_ONLY</x:v>
      </x:c>
      <x:c r="H2" s="20" t="str">
        <x:v>BLOCKED</x:v>
      </x:c>
      <x:c r="I2" s="20" t="str">
        <x:v>ORIGINAL_DRAFT_UNDER_REVIEW</x:v>
      </x:c>
    </x:row>
    <x:row r="3">
      <x:c r="A3" s="20" t="str">
        <x:v>site-f9df0c7e708c</x:v>
      </x:c>
      <x:c r="B3" s="20" t="str">
        <x:v>bld-slwn-f9df0c</x:v>
      </x:c>
      <x:c r="C3" s="20" t="str">
        <x:v>بلدة سلوان</x:v>
      </x:c>
      <x:c r="D3" s="20" t="str">
        <x:v>catalogSummary</x:v>
      </x:c>
      <x:c r="E3" s="20" t="n">
        <x:v>0</x:v>
      </x:c>
      <x:c r="F3" s="20" t="n">
        <x:v>1</x:v>
      </x:c>
      <x:c r="G3" s="20" t="str">
        <x:v>DEBUG_ONLY</x:v>
      </x:c>
      <x:c r="H3" s="20" t="str">
        <x:v>BLOCKED</x:v>
      </x:c>
      <x:c r="I3" s="20" t="str">
        <x:v>ORIGINAL_DRAFT_UNDER_REVIEW</x:v>
      </x:c>
    </x:row>
    <x:row r="4">
      <x:c r="A4" s="20" t="str">
        <x:v>site-f9067873c322</x:v>
      </x:c>
      <x:c r="B4" s="20" t="str">
        <x:v>hy-t-lbrq-f90678</x:v>
      </x:c>
      <x:c r="C4" s="20" t="str">
        <x:v>حائط البراق</x:v>
      </x:c>
      <x:c r="D4" s="20" t="str">
        <x:v>expandedNarrative</x:v>
      </x:c>
      <x:c r="E4" s="20" t="n">
        <x:v>6</x:v>
      </x:c>
      <x:c r="F4" s="20" t="n">
        <x:v>1</x:v>
      </x:c>
      <x:c r="G4" s="20" t="str">
        <x:v>DEBUG_ONLY</x:v>
      </x:c>
      <x:c r="H4" s="20" t="str">
        <x:v>BLOCKED</x:v>
      </x:c>
      <x:c r="I4" s="20" t="str">
        <x:v>ORIGINAL_DRAFT_UNDER_REVIEW</x:v>
      </x:c>
    </x:row>
    <x:row r="5">
      <x:c r="A5" s="20" t="str">
        <x:v>site-9b42bff63df0</x:v>
      </x:c>
      <x:c r="B5" s="20" t="str">
        <x:v>khn-ljwbr-9b42bf</x:v>
      </x:c>
      <x:c r="C5" s="20" t="str">
        <x:v>خان الجوابرة</x:v>
      </x:c>
      <x:c r="D5" s="20" t="str">
        <x:v>catalogSummary</x:v>
      </x:c>
      <x:c r="E5" s="20" t="n">
        <x:v>0</x:v>
      </x:c>
      <x:c r="F5" s="20" t="n">
        <x:v>1</x:v>
      </x:c>
      <x:c r="G5" s="20" t="str">
        <x:v>DEBUG_ONLY</x:v>
      </x:c>
      <x:c r="H5" s="20" t="str">
        <x:v>BLOCKED</x:v>
      </x:c>
      <x:c r="I5" s="20" t="str">
        <x:v>ORIGINAL_DRAFT_UNDER_REVIEW</x:v>
      </x:c>
    </x:row>
    <x:row r="6">
      <x:c r="A6" s="20" t="str">
        <x:v>site-4bbdf07d8d66</x:v>
      </x:c>
      <x:c r="B6" s="20" t="str">
        <x:v>swq-lqtnyn-4bbdf0</x:v>
      </x:c>
      <x:c r="C6" s="20" t="str">
        <x:v>سوق القطانين</x:v>
      </x:c>
      <x:c r="D6" s="20" t="str">
        <x:v>expandedNarrative</x:v>
      </x:c>
      <x:c r="E6" s="20" t="n">
        <x:v>4</x:v>
      </x:c>
      <x:c r="F6" s="20" t="n">
        <x:v>1</x:v>
      </x:c>
      <x:c r="G6" s="20" t="str">
        <x:v>DEBUG_ONLY</x:v>
      </x:c>
      <x:c r="H6" s="20" t="str">
        <x:v>BLOCKED</x:v>
      </x:c>
      <x:c r="I6" s="20" t="str">
        <x:v>ORIGINAL_DRAFT_UNDER_REVIEW</x:v>
      </x:c>
    </x:row>
    <x:row r="7">
      <x:c r="A7" s="20" t="str">
        <x:v>site-8d297f3c37a9</x:v>
      </x:c>
      <x:c r="B7" s="20" t="str">
        <x:v>qbr-lsyd-mrym-mgr-ljsmny-8d297f</x:v>
      </x:c>
      <x:c r="C7" s="20" t="str">
        <x:v>قبر السيدة مريم (مغارة الجسمانية)</x:v>
      </x:c>
      <x:c r="D7" s="20" t="str">
        <x:v>expandedNarrative</x:v>
      </x:c>
      <x:c r="E7" s="20" t="n">
        <x:v>5</x:v>
      </x:c>
      <x:c r="F7" s="20" t="n">
        <x:v>1</x:v>
      </x:c>
      <x:c r="G7" s="20" t="str">
        <x:v>DEBUG_ONLY</x:v>
      </x:c>
      <x:c r="H7" s="20" t="str">
        <x:v>BLOCKED</x:v>
      </x:c>
      <x:c r="I7" s="20" t="str">
        <x:v>ORIGINAL_DRAFT_UNDER_REVIEW</x:v>
      </x:c>
    </x:row>
    <x:row r="8">
      <x:c r="A8" s="20" t="str">
        <x:v>site-f7553f79288f</x:v>
      </x:c>
      <x:c r="B8" s="20" t="str">
        <x:v>qswr-lmmlyk-shr-lwd-f7553f</x:v>
      </x:c>
      <x:c r="C8" s="20" t="str">
        <x:v>قصور المماليك (شارع الواد)</x:v>
      </x:c>
      <x:c r="D8" s="20" t="str">
        <x:v>expandedNarrative</x:v>
      </x:c>
      <x:c r="E8" s="20" t="n">
        <x:v>4</x:v>
      </x:c>
      <x:c r="F8" s="20" t="n">
        <x:v>1</x:v>
      </x:c>
      <x:c r="G8" s="20" t="str">
        <x:v>DEBUG_ONLY</x:v>
      </x:c>
      <x:c r="H8" s="20" t="str">
        <x:v>BLOCKED</x:v>
      </x:c>
      <x:c r="I8" s="20" t="str">
        <x:v>ORIGINAL_DRAFT_UNDER_REVIEW</x:v>
      </x:c>
    </x:row>
    <x:row r="9">
      <x:c r="A9" s="20" t="str">
        <x:v>site-83d3025c4675</x:v>
      </x:c>
      <x:c r="B9" s="20" t="str">
        <x:v>ql-lqds-brj-dwd-83d302</x:v>
      </x:c>
      <x:c r="C9" s="20" t="str">
        <x:v>قلعة القدس (برج داود)</x:v>
      </x:c>
      <x:c r="D9" s="20" t="str">
        <x:v>expandedNarrative</x:v>
      </x:c>
      <x:c r="E9" s="20" t="n">
        <x:v>8</x:v>
      </x:c>
      <x:c r="F9" s="20" t="n">
        <x:v>1</x:v>
      </x:c>
      <x:c r="G9" s="20" t="str">
        <x:v>DEBUG_ONLY</x:v>
      </x:c>
      <x:c r="H9" s="20" t="str">
        <x:v>BLOCKED</x:v>
      </x:c>
      <x:c r="I9" s="20" t="str">
        <x:v>ORIGINAL_DRAFT_UNDER_REVIEW</x:v>
      </x:c>
    </x:row>
    <x:row r="10">
      <x:c r="A10" s="20" t="str">
        <x:v>site-431ed266867b</x:v>
      </x:c>
      <x:c r="B10" s="20" t="str">
        <x:v>knys-lqym-431ed2</x:v>
      </x:c>
      <x:c r="C10" s="20" t="str">
        <x:v>كنيسة القيامة</x:v>
      </x:c>
      <x:c r="D10" s="20" t="str">
        <x:v>expandedNarrative</x:v>
      </x:c>
      <x:c r="E10" s="20" t="n">
        <x:v>7</x:v>
      </x:c>
      <x:c r="F10" s="20" t="n">
        <x:v>1</x:v>
      </x:c>
      <x:c r="G10" s="20" t="str">
        <x:v>DEBUG_ONLY</x:v>
      </x:c>
      <x:c r="H10" s="20" t="str">
        <x:v>BLOCKED</x:v>
      </x:c>
      <x:c r="I10" s="20" t="str">
        <x:v>ORIGINAL_DRAFT_UNDER_REVIEW</x:v>
      </x:c>
    </x:row>
    <x:row r="11">
      <x:c r="A11" s="20" t="str">
        <x:v>site-3a3d3669f0ba</x:v>
      </x:c>
      <x:c r="B11" s="20" t="str">
        <x:v>mqm-lnby-dwwd-jbl-shywn-3a3d36</x:v>
      </x:c>
      <x:c r="C11" s="20" t="str">
        <x:v>مقام النبي داوود (جبل صهيون)</x:v>
      </x:c>
      <x:c r="D11" s="20" t="str">
        <x:v>expandedNarrative</x:v>
      </x:c>
      <x:c r="E11" s="20" t="n">
        <x:v>5</x:v>
      </x:c>
      <x:c r="F11" s="20" t="n">
        <x:v>1</x:v>
      </x:c>
      <x:c r="G11" s="20" t="str">
        <x:v>DEBUG_ONLY</x:v>
      </x:c>
      <x:c r="H11" s="20" t="str">
        <x:v>BLOCKED</x:v>
      </x:c>
      <x:c r="I11" s="20" t="str">
        <x:v>ORIGINAL_DRAFT_UNDER_REVIEW</x:v>
      </x:c>
    </x:row>
    <x:row r="12">
      <x:c r="A12" s="20" t="str">
        <x:v>site-899e38be070d</x:v>
      </x:c>
      <x:c r="B12" s="20" t="str">
        <x:v>lhrm-lbrhymy-899e38</x:v>
      </x:c>
      <x:c r="C12" s="20" t="str">
        <x:v>الحرم الإبراهيمي</x:v>
      </x:c>
      <x:c r="D12" s="20" t="str">
        <x:v>expandedNarrative</x:v>
      </x:c>
      <x:c r="E12" s="20" t="n">
        <x:v>5</x:v>
      </x:c>
      <x:c r="F12" s="20" t="n">
        <x:v>1</x:v>
      </x:c>
      <x:c r="G12" s="20" t="str">
        <x:v>DEBUG_ONLY</x:v>
      </x:c>
      <x:c r="H12" s="20" t="str">
        <x:v>BLOCKED</x:v>
      </x:c>
      <x:c r="I12" s="20" t="str">
        <x:v>ORIGINAL_DRAFT_UNDER_REVIEW</x:v>
      </x:c>
    </x:row>
    <x:row r="13">
      <x:c r="A13" s="20" t="str">
        <x:v>site-6b6c5a396756</x:v>
      </x:c>
      <x:c r="B13" s="20" t="str">
        <x:v>bld-lkhlyl-lqdym-6b6c5a</x:v>
      </x:c>
      <x:c r="C13" s="20" t="str">
        <x:v>بلدة الخليل القديمة</x:v>
      </x:c>
      <x:c r="D13" s="20" t="str">
        <x:v>expandedNarrative</x:v>
      </x:c>
      <x:c r="E13" s="20" t="n">
        <x:v>4</x:v>
      </x:c>
      <x:c r="F13" s="20" t="n">
        <x:v>1</x:v>
      </x:c>
      <x:c r="G13" s="20" t="str">
        <x:v>DEBUG_ONLY</x:v>
      </x:c>
      <x:c r="H13" s="20" t="str">
        <x:v>BLOCKED</x:v>
      </x:c>
      <x:c r="I13" s="20" t="str">
        <x:v>ORIGINAL_DRAFT_UNDER_REVIEW</x:v>
      </x:c>
    </x:row>
    <x:row r="14">
      <x:c r="A14" s="20" t="str">
        <x:v>site-f60be7cd7d5e</x:v>
      </x:c>
      <x:c r="B14" s="20" t="str">
        <x:v>byt-mr-khrb-lnby-mt-f60be7</x:v>
      </x:c>
      <x:c r="C14" s="20" t="str">
        <x:v>بيت أمر (خربة النبي متى)</x:v>
      </x:c>
      <x:c r="D14" s="20" t="str">
        <x:v>expandedNarrative</x:v>
      </x:c>
      <x:c r="E14" s="20" t="n">
        <x:v>2</x:v>
      </x:c>
      <x:c r="F14" s="20" t="n">
        <x:v>1</x:v>
      </x:c>
      <x:c r="G14" s="20" t="str">
        <x:v>DEBUG_ONLY</x:v>
      </x:c>
      <x:c r="H14" s="20" t="str">
        <x:v>BLOCKED</x:v>
      </x:c>
      <x:c r="I14" s="20" t="str">
        <x:v>ORIGINAL_DRAFT_UNDER_REVIEW</x:v>
      </x:c>
    </x:row>
    <x:row r="15">
      <x:c r="A15" s="20" t="str">
        <x:v>site-63c0ba59c24e</x:v>
      </x:c>
      <x:c r="B15" s="20" t="str">
        <x:v>tl-lrmyd-63c0ba</x:v>
      </x:c>
      <x:c r="C15" s="20" t="str">
        <x:v>تل الرميدة</x:v>
      </x:c>
      <x:c r="D15" s="20" t="str">
        <x:v>expandedNarrative</x:v>
      </x:c>
      <x:c r="E15" s="20" t="n">
        <x:v>4</x:v>
      </x:c>
      <x:c r="F15" s="20" t="n">
        <x:v>1</x:v>
      </x:c>
      <x:c r="G15" s="20" t="str">
        <x:v>DEBUG_ONLY</x:v>
      </x:c>
      <x:c r="H15" s="20" t="str">
        <x:v>BLOCKED</x:v>
      </x:c>
      <x:c r="I15" s="20" t="str">
        <x:v>ORIGINAL_DRAFT_UNDER_REVIEW</x:v>
      </x:c>
    </x:row>
    <x:row r="16">
      <x:c r="A16" s="20" t="str">
        <x:v>site-cd3be04163b6</x:v>
      </x:c>
      <x:c r="B16" s="20" t="str">
        <x:v>hlhwl-mqm-lnby-ywns-cd3be0</x:v>
      </x:c>
      <x:c r="C16" s="20" t="str">
        <x:v>حلحول (مقام النبي يونس)</x:v>
      </x:c>
      <x:c r="D16" s="20" t="str">
        <x:v>expandedNarrative</x:v>
      </x:c>
      <x:c r="E16" s="20" t="n">
        <x:v>2</x:v>
      </x:c>
      <x:c r="F16" s="20" t="n">
        <x:v>1</x:v>
      </x:c>
      <x:c r="G16" s="20" t="str">
        <x:v>DEBUG_ONLY</x:v>
      </x:c>
      <x:c r="H16" s="20" t="str">
        <x:v>BLOCKED</x:v>
      </x:c>
      <x:c r="I16" s="20" t="str">
        <x:v>ORIGINAL_DRAFT_UNDER_REVIEW</x:v>
      </x:c>
    </x:row>
    <x:row r="17">
      <x:c r="A17" s="20" t="str">
        <x:v>site-2310c1600481</x:v>
      </x:c>
      <x:c r="B17" s="20" t="str">
        <x:v>khn-lhtb-2310c1</x:v>
      </x:c>
      <x:c r="C17" s="20" t="str">
        <x:v>خان الحطب</x:v>
      </x:c>
      <x:c r="D17" s="20" t="str">
        <x:v>catalogSummary</x:v>
      </x:c>
      <x:c r="E17" s="20" t="n">
        <x:v>0</x:v>
      </x:c>
      <x:c r="F17" s="20" t="n">
        <x:v>1</x:v>
      </x:c>
      <x:c r="G17" s="20" t="str">
        <x:v>DEBUG_ONLY</x:v>
      </x:c>
      <x:c r="H17" s="20" t="str">
        <x:v>BLOCKED</x:v>
      </x:c>
      <x:c r="I17" s="20" t="str">
        <x:v>ORIGINAL_DRAFT_UNDER_REVIEW</x:v>
      </x:c>
    </x:row>
    <x:row r="18">
      <x:c r="A18" s="20" t="str">
        <x:v>site-c9ac723c0271</x:v>
      </x:c>
      <x:c r="B18" s="20" t="str">
        <x:v>khrb-lnby-nwh-c9ac72</x:v>
      </x:c>
      <x:c r="C18" s="20" t="str">
        <x:v>خربة النبي نوح</x:v>
      </x:c>
      <x:c r="D18" s="20" t="str">
        <x:v>expandedNarrative</x:v>
      </x:c>
      <x:c r="E18" s="20" t="n">
        <x:v>2</x:v>
      </x:c>
      <x:c r="F18" s="20" t="n">
        <x:v>1</x:v>
      </x:c>
      <x:c r="G18" s="20" t="str">
        <x:v>DEBUG_ONLY</x:v>
      </x:c>
      <x:c r="H18" s="20" t="str">
        <x:v>BLOCKED</x:v>
      </x:c>
      <x:c r="I18" s="20" t="str">
        <x:v>ORIGINAL_DRAFT_UNDER_REVIEW</x:v>
      </x:c>
    </x:row>
    <x:row r="19">
      <x:c r="A19" s="20" t="str">
        <x:v>site-6162b1da6edc</x:v>
      </x:c>
      <x:c r="B19" s="20" t="str">
        <x:v>yn-sr-6162b1</x:v>
      </x:c>
      <x:c r="C19" s="20" t="str">
        <x:v>عين سارة</x:v>
      </x:c>
      <x:c r="D19" s="20" t="str">
        <x:v>catalogSummary</x:v>
      </x:c>
      <x:c r="E19" s="20" t="n">
        <x:v>0</x:v>
      </x:c>
      <x:c r="F19" s="20" t="n">
        <x:v>1</x:v>
      </x:c>
      <x:c r="G19" s="20" t="str">
        <x:v>DEBUG_ONLY</x:v>
      </x:c>
      <x:c r="H19" s="20" t="str">
        <x:v>BLOCKED</x:v>
      </x:c>
      <x:c r="I19" s="20" t="str">
        <x:v>ORIGINAL_DRAFT_UNDER_REVIEW</x:v>
      </x:c>
    </x:row>
    <x:row r="20">
      <x:c r="A20" s="20" t="str">
        <x:v>site-d2c9e9bc9652</x:v>
      </x:c>
      <x:c r="B20" s="20" t="str">
        <x:v>ql-lkrml-dyr-smt-d2c9e9</x:v>
      </x:c>
      <x:c r="C20" s="20" t="str">
        <x:v>قلعة الكرمل (دير سامت)</x:v>
      </x:c>
      <x:c r="D20" s="20" t="str">
        <x:v>catalogSummary</x:v>
      </x:c>
      <x:c r="E20" s="20" t="n">
        <x:v>0</x:v>
      </x:c>
      <x:c r="F20" s="20" t="n">
        <x:v>1</x:v>
      </x:c>
      <x:c r="G20" s="20" t="str">
        <x:v>DEBUG_ONLY</x:v>
      </x:c>
      <x:c r="H20" s="20" t="str">
        <x:v>BLOCKED</x:v>
      </x:c>
      <x:c r="I20" s="20" t="str">
        <x:v>ORIGINAL_DRAFT_UNDER_REVIEW</x:v>
      </x:c>
    </x:row>
    <x:row r="21">
      <x:c r="A21" s="20" t="str">
        <x:v>site-0dc57168d963</x:v>
      </x:c>
      <x:c r="B21" s="20" t="str">
        <x:v>mgr-lbtrk-jz-mn-lhrm-0dc571</x:v>
      </x:c>
      <x:c r="C21" s="20" t="str">
        <x:v>مغارة البطاركة (جزء من الحرم)</x:v>
      </x:c>
      <x:c r="D21" s="20" t="str">
        <x:v>catalogSummary</x:v>
      </x:c>
      <x:c r="E21" s="20" t="n">
        <x:v>0</x:v>
      </x:c>
      <x:c r="F21" s="20" t="n">
        <x:v>1</x:v>
      </x:c>
      <x:c r="G21" s="20" t="str">
        <x:v>DEBUG_ONLY</x:v>
      </x:c>
      <x:c r="H21" s="20" t="str">
        <x:v>BLOCKED</x:v>
      </x:c>
      <x:c r="I21" s="20" t="str">
        <x:v>ORIGINAL_DRAFT_UNDER_REVIEW</x:v>
      </x:c>
    </x:row>
    <x:row r="22">
      <x:c r="A22" s="20" t="str">
        <x:v>site-7532d020842e</x:v>
      </x:c>
      <x:c r="B22" s="20" t="str">
        <x:v>mqm-lshykh-ly-lbk-7532d0</x:v>
      </x:c>
      <x:c r="C22" s="20" t="str">
        <x:v>مقام الشيخ علي البكاء</x:v>
      </x:c>
      <x:c r="D22" s="20" t="str">
        <x:v>catalogSummary</x:v>
      </x:c>
      <x:c r="E22" s="20" t="n">
        <x:v>0</x:v>
      </x:c>
      <x:c r="F22" s="20" t="n">
        <x:v>1</x:v>
      </x:c>
      <x:c r="G22" s="20" t="str">
        <x:v>DEBUG_ONLY</x:v>
      </x:c>
      <x:c r="H22" s="20" t="str">
        <x:v>BLOCKED</x:v>
      </x:c>
      <x:c r="I22" s="20" t="str">
        <x:v>ORIGINAL_DRAFT_UNDER_REVIEW</x:v>
      </x:c>
    </x:row>
    <x:row r="23">
      <x:c r="A23" s="20" t="str">
        <x:v>site-37c8be50ce73</x:v>
      </x:c>
      <x:c r="B23" s="20" t="str">
        <x:v>brk-slymn-37c8be</x:v>
      </x:c>
      <x:c r="C23" s="20" t="str">
        <x:v>برك سليمان</x:v>
      </x:c>
      <x:c r="D23" s="20" t="str">
        <x:v>expandedNarrative</x:v>
      </x:c>
      <x:c r="E23" s="20" t="n">
        <x:v>4</x:v>
      </x:c>
      <x:c r="F23" s="20" t="n">
        <x:v>1</x:v>
      </x:c>
      <x:c r="G23" s="20" t="str">
        <x:v>DEBUG_ONLY</x:v>
      </x:c>
      <x:c r="H23" s="20" t="str">
        <x:v>BLOCKED</x:v>
      </x:c>
      <x:c r="I23" s="20" t="str">
        <x:v>ORIGINAL_DRAFT_UNDER_REVIEW</x:v>
      </x:c>
    </x:row>
    <x:row r="24">
      <x:c r="A24" s="20" t="str">
        <x:v>site-f97aa993c98b</x:v>
      </x:c>
      <x:c r="B24" s="20" t="str">
        <x:v>dyr-ljn-lkhdr-f97aa9</x:v>
      </x:c>
      <x:c r="C24" s="20" t="str">
        <x:v>دير الجنة (الخضر)</x:v>
      </x:c>
      <x:c r="D24" s="20" t="str">
        <x:v>expandedNarrative</x:v>
      </x:c>
      <x:c r="E24" s="20" t="n">
        <x:v>3</x:v>
      </x:c>
      <x:c r="F24" s="20" t="n">
        <x:v>1</x:v>
      </x:c>
      <x:c r="G24" s="20" t="str">
        <x:v>DEBUG_ONLY</x:v>
      </x:c>
      <x:c r="H24" s="20" t="str">
        <x:v>BLOCKED</x:v>
      </x:c>
      <x:c r="I24" s="20" t="str">
        <x:v>ORIGINAL_DRAFT_UNDER_REVIEW</x:v>
      </x:c>
    </x:row>
    <x:row r="25">
      <x:c r="A25" s="20" t="str">
        <x:v>site-a8aeb054b451</x:v>
      </x:c>
      <x:c r="B25" s="20" t="str">
        <x:v>dyr-mr-sb-a8aeb0</x:v>
      </x:c>
      <x:c r="C25" s="20" t="str">
        <x:v>دير مار سابا</x:v>
      </x:c>
      <x:c r="D25" s="20" t="str">
        <x:v>expandedNarrative</x:v>
      </x:c>
      <x:c r="E25" s="20" t="n">
        <x:v>6</x:v>
      </x:c>
      <x:c r="F25" s="20" t="n">
        <x:v>2</x:v>
      </x:c>
      <x:c r="G25" s="20" t="str">
        <x:v>DEBUG_ONLY</x:v>
      </x:c>
      <x:c r="H25" s="20" t="str">
        <x:v>BLOCKED</x:v>
      </x:c>
      <x:c r="I25" s="20" t="str">
        <x:v>ORIGINAL_DRAFT_UNDER_REVIEW</x:v>
      </x:c>
    </x:row>
    <x:row r="26">
      <x:c r="A26" s="20" t="str">
        <x:v>site-88fede7b6df0</x:v>
      </x:c>
      <x:c r="B26" s="20" t="str">
        <x:v>qry-btyr-88fede</x:v>
      </x:c>
      <x:c r="C26" s="20" t="str">
        <x:v>قرية بتير</x:v>
      </x:c>
      <x:c r="D26" s="20" t="str">
        <x:v>expandedNarrative</x:v>
      </x:c>
      <x:c r="E26" s="20" t="n">
        <x:v>7</x:v>
      </x:c>
      <x:c r="F26" s="20" t="n">
        <x:v>1</x:v>
      </x:c>
      <x:c r="G26" s="20" t="str">
        <x:v>DEBUG_ONLY</x:v>
      </x:c>
      <x:c r="H26" s="20" t="str">
        <x:v>BLOCKED</x:v>
      </x:c>
      <x:c r="I26" s="20" t="str">
        <x:v>ORIGINAL_DRAFT_UNDER_REVIEW</x:v>
      </x:c>
    </x:row>
    <x:row r="27">
      <x:c r="A27" s="20" t="str">
        <x:v>site-133155518939</x:v>
      </x:c>
      <x:c r="B27" s="20" t="str">
        <x:v>qsr-hyrwdywn-133155</x:v>
      </x:c>
      <x:c r="C27" s="20" t="str">
        <x:v>قصر هيروديون</x:v>
      </x:c>
      <x:c r="D27" s="20" t="str">
        <x:v>expandedNarrative</x:v>
      </x:c>
      <x:c r="E27" s="20" t="n">
        <x:v>5</x:v>
      </x:c>
      <x:c r="F27" s="20" t="n">
        <x:v>1</x:v>
      </x:c>
      <x:c r="G27" s="20" t="str">
        <x:v>DEBUG_ONLY</x:v>
      </x:c>
      <x:c r="H27" s="20" t="str">
        <x:v>BLOCKED</x:v>
      </x:c>
      <x:c r="I27" s="20" t="str">
        <x:v>ORIGINAL_DRAFT_UNDER_REVIEW</x:v>
      </x:c>
    </x:row>
    <x:row r="28">
      <x:c r="A28" s="20" t="str">
        <x:v>site-63fe9eba7871</x:v>
      </x:c>
      <x:c r="B28" s="20" t="str">
        <x:v>ql-lbrk-63fe9e</x:v>
      </x:c>
      <x:c r="C28" s="20" t="str">
        <x:v>قلعة البرك</x:v>
      </x:c>
      <x:c r="D28" s="20" t="str">
        <x:v>catalogSummary</x:v>
      </x:c>
      <x:c r="E28" s="20" t="n">
        <x:v>0</x:v>
      </x:c>
      <x:c r="F28" s="20" t="n">
        <x:v>1</x:v>
      </x:c>
      <x:c r="G28" s="20" t="str">
        <x:v>DEBUG_ONLY</x:v>
      </x:c>
      <x:c r="H28" s="20" t="str">
        <x:v>BLOCKED</x:v>
      </x:c>
      <x:c r="I28" s="20" t="str">
        <x:v>ORIGINAL_DRAFT_UNDER_REVIEW</x:v>
      </x:c>
    </x:row>
    <x:row r="29">
      <x:c r="A29" s="20" t="str">
        <x:v>site-4b15f14c306f</x:v>
      </x:c>
      <x:c r="B29" s="20" t="str">
        <x:v>knys-lmhd-4b15f1</x:v>
      </x:c>
      <x:c r="C29" s="20" t="str">
        <x:v>كنيسة المهد</x:v>
      </x:c>
      <x:c r="D29" s="20" t="str">
        <x:v>expandedNarrative</x:v>
      </x:c>
      <x:c r="E29" s="20" t="n">
        <x:v>7</x:v>
      </x:c>
      <x:c r="F29" s="20" t="n">
        <x:v>1</x:v>
      </x:c>
      <x:c r="G29" s="20" t="str">
        <x:v>DEBUG_ONLY</x:v>
      </x:c>
      <x:c r="H29" s="20" t="str">
        <x:v>BLOCKED</x:v>
      </x:c>
      <x:c r="I29" s="20" t="str">
        <x:v>ORIGINAL_DRAFT_UNDER_REVIEW</x:v>
      </x:c>
    </x:row>
    <x:row r="30">
      <x:c r="A30" s="20" t="str">
        <x:v>site-57adc62d6d70</x:v>
      </x:c>
      <x:c r="B30" s="20" t="str">
        <x:v>mgr-lhlyb-57adc6</x:v>
      </x:c>
      <x:c r="C30" s="20" t="str">
        <x:v>مغارة الحليب</x:v>
      </x:c>
      <x:c r="D30" s="20" t="str">
        <x:v>catalogSummary</x:v>
      </x:c>
      <x:c r="E30" s="20" t="n">
        <x:v>0</x:v>
      </x:c>
      <x:c r="F30" s="20" t="n">
        <x:v>1</x:v>
      </x:c>
      <x:c r="G30" s="20" t="str">
        <x:v>DEBUG_ONLY</x:v>
      </x:c>
      <x:c r="H30" s="20" t="str">
        <x:v>BLOCKED</x:v>
      </x:c>
      <x:c r="I30" s="20" t="str">
        <x:v>ORIGINAL_DRAFT_UNDER_REVIEW</x:v>
      </x:c>
    </x:row>
    <x:row r="31">
      <x:c r="A31" s="20" t="str">
        <x:v>site-e2a5c15f76f6</x:v>
      </x:c>
      <x:c r="B31" s="20" t="str">
        <x:v>bld-byrzyt-lqdym-e2a5c1</x:v>
      </x:c>
      <x:c r="C31" s="20" t="str">
        <x:v>بلدة بيرزيت القديمة</x:v>
      </x:c>
      <x:c r="D31" s="20" t="str">
        <x:v>expandedNarrative</x:v>
      </x:c>
      <x:c r="E31" s="20" t="n">
        <x:v>3</x:v>
      </x:c>
      <x:c r="F31" s="20" t="n">
        <x:v>1</x:v>
      </x:c>
      <x:c r="G31" s="20" t="str">
        <x:v>DEBUG_ONLY</x:v>
      </x:c>
      <x:c r="H31" s="20" t="str">
        <x:v>BLOCKED</x:v>
      </x:c>
      <x:c r="I31" s="20" t="str">
        <x:v>ORIGINAL_DRAFT_UNDER_REVIEW</x:v>
      </x:c>
    </x:row>
    <x:row r="32">
      <x:c r="A32" s="20" t="str">
        <x:v>site-014e4c4e4845</x:v>
      </x:c>
      <x:c r="B32" s="20" t="str">
        <x:v>khrb-bwd-014e4c</x:v>
      </x:c>
      <x:c r="C32" s="20" t="str">
        <x:v>خربة عابود</x:v>
      </x:c>
      <x:c r="D32" s="20" t="str">
        <x:v>expandedNarrative</x:v>
      </x:c>
      <x:c r="E32" s="20" t="n">
        <x:v>3</x:v>
      </x:c>
      <x:c r="F32" s="20" t="n">
        <x:v>2</x:v>
      </x:c>
      <x:c r="G32" s="20" t="str">
        <x:v>DEBUG_ONLY</x:v>
      </x:c>
      <x:c r="H32" s="20" t="str">
        <x:v>BLOCKED</x:v>
      </x:c>
      <x:c r="I32" s="20" t="str">
        <x:v>ORIGINAL_DRAFT_UNDER_REVIEW</x:v>
      </x:c>
    </x:row>
    <x:row r="33">
      <x:c r="A33" s="20" t="str">
        <x:v>site-28dd528f5f3a</x:v>
      </x:c>
      <x:c r="B33" s="20" t="str">
        <x:v>dyr-mr-28dd52</x:v>
      </x:c>
      <x:c r="C33" s="20" t="str">
        <x:v>دير عمار</x:v>
      </x:c>
      <x:c r="D33" s="20" t="str">
        <x:v>catalogSummary</x:v>
      </x:c>
      <x:c r="E33" s="20" t="n">
        <x:v>0</x:v>
      </x:c>
      <x:c r="F33" s="20" t="n">
        <x:v>1</x:v>
      </x:c>
      <x:c r="G33" s="20" t="str">
        <x:v>DEBUG_ONLY</x:v>
      </x:c>
      <x:c r="H33" s="20" t="str">
        <x:v>BLOCKED</x:v>
      </x:c>
      <x:c r="I33" s="20" t="str">
        <x:v>ORIGINAL_DRAFT_UNDER_REVIEW</x:v>
      </x:c>
    </x:row>
    <x:row r="34">
      <x:c r="A34" s="20" t="str">
        <x:v>site-2a3fdab99250</x:v>
      </x:c>
      <x:c r="B34" s="20" t="str">
        <x:v>yn-smy-2a3fda</x:v>
      </x:c>
      <x:c r="C34" s="20" t="str">
        <x:v>عين سامية</x:v>
      </x:c>
      <x:c r="D34" s="20" t="str">
        <x:v>expandedNarrative</x:v>
      </x:c>
      <x:c r="E34" s="20" t="n">
        <x:v>2</x:v>
      </x:c>
      <x:c r="F34" s="20" t="n">
        <x:v>1</x:v>
      </x:c>
      <x:c r="G34" s="20" t="str">
        <x:v>DEBUG_ONLY</x:v>
      </x:c>
      <x:c r="H34" s="20" t="str">
        <x:v>BLOCKED</x:v>
      </x:c>
      <x:c r="I34" s="20" t="str">
        <x:v>ORIGINAL_DRAFT_UNDER_REVIEW</x:v>
      </x:c>
    </x:row>
    <x:row r="35">
      <x:c r="A35" s="20" t="str">
        <x:v>site-78a64ec5ef15</x:v>
      </x:c>
      <x:c r="B35" s="20" t="str">
        <x:v>qsr-lryn-78a64e</x:v>
      </x:c>
      <x:c r="C35" s="20" t="str">
        <x:v>قصر الريان</x:v>
      </x:c>
      <x:c r="D35" s="20" t="str">
        <x:v>catalogSummary</x:v>
      </x:c>
      <x:c r="E35" s="20" t="n">
        <x:v>0</x:v>
      </x:c>
      <x:c r="F35" s="20" t="n">
        <x:v>1</x:v>
      </x:c>
      <x:c r="G35" s="20" t="str">
        <x:v>DEBUG_ONLY</x:v>
      </x:c>
      <x:c r="H35" s="20" t="str">
        <x:v>BLOCKED</x:v>
      </x:c>
      <x:c r="I35" s="20" t="str">
        <x:v>ORIGINAL_DRAFT_UNDER_REVIEW</x:v>
      </x:c>
    </x:row>
    <x:row r="36">
      <x:c r="A36" s="20" t="str">
        <x:v>site-12fc185d4b0b</x:v>
      </x:c>
      <x:c r="B36" s="20" t="str">
        <x:v>mqm-lnby-slh-12fc18</x:v>
      </x:c>
      <x:c r="C36" s="20" t="str">
        <x:v>مقام النبي صالح</x:v>
      </x:c>
      <x:c r="D36" s="20" t="str">
        <x:v>catalogSummary</x:v>
      </x:c>
      <x:c r="E36" s="20" t="n">
        <x:v>0</x:v>
      </x:c>
      <x:c r="F36" s="20" t="n">
        <x:v>1</x:v>
      </x:c>
      <x:c r="G36" s="20" t="str">
        <x:v>DEBUG_ONLY</x:v>
      </x:c>
      <x:c r="H36" s="20" t="str">
        <x:v>BLOCKED</x:v>
      </x:c>
      <x:c r="I36" s="20" t="str">
        <x:v>ORIGINAL_DRAFT_UNDER_REVIEW</x:v>
      </x:c>
    </x:row>
    <x:row r="37">
      <x:c r="A37" s="20" t="str">
        <x:v>site-a9ac192e20c3</x:v>
      </x:c>
      <x:c r="B37" s="20" t="str">
        <x:v>bld-nbls-lqdym-a9ac19</x:v>
      </x:c>
      <x:c r="C37" s="20" t="str">
        <x:v>بلدة نابلس القديمة</x:v>
      </x:c>
      <x:c r="D37" s="20" t="str">
        <x:v>expandedNarrative</x:v>
      </x:c>
      <x:c r="E37" s="20" t="n">
        <x:v>7</x:v>
      </x:c>
      <x:c r="F37" s="20" t="n">
        <x:v>1</x:v>
      </x:c>
      <x:c r="G37" s="20" t="str">
        <x:v>DEBUG_ONLY</x:v>
      </x:c>
      <x:c r="H37" s="20" t="str">
        <x:v>BLOCKED</x:v>
      </x:c>
      <x:c r="I37" s="20" t="str">
        <x:v>ORIGINAL_DRAFT_UNDER_REVIEW</x:v>
      </x:c>
    </x:row>
    <x:row r="38">
      <x:c r="A38" s="20" t="str">
        <x:v>site-a429c345ac25</x:v>
      </x:c>
      <x:c r="B38" s="20" t="str">
        <x:v>jm-lnsr-a429c3</x:v>
      </x:c>
      <x:c r="C38" s="20" t="str">
        <x:v>جامع النصر</x:v>
      </x:c>
      <x:c r="D38" s="20" t="str">
        <x:v>catalogSummary</x:v>
      </x:c>
      <x:c r="E38" s="20" t="n">
        <x:v>0</x:v>
      </x:c>
      <x:c r="F38" s="20" t="n">
        <x:v>1</x:v>
      </x:c>
      <x:c r="G38" s="20" t="str">
        <x:v>DEBUG_ONLY</x:v>
      </x:c>
      <x:c r="H38" s="20" t="str">
        <x:v>BLOCKED</x:v>
      </x:c>
      <x:c r="I38" s="20" t="str">
        <x:v>ORIGINAL_DRAFT_UNDER_REVIEW</x:v>
      </x:c>
    </x:row>
    <x:row r="39">
      <x:c r="A39" s="20" t="str">
        <x:v>site-b6773e683274</x:v>
      </x:c>
      <x:c r="B39" s="20" t="str">
        <x:v>jbl-jrzym-b6773e</x:v>
      </x:c>
      <x:c r="C39" s="20" t="str">
        <x:v>جبل جرزيم</x:v>
      </x:c>
      <x:c r="D39" s="20" t="str">
        <x:v>expandedNarrative</x:v>
      </x:c>
      <x:c r="E39" s="20" t="n">
        <x:v>3</x:v>
      </x:c>
      <x:c r="F39" s="20" t="n">
        <x:v>1</x:v>
      </x:c>
      <x:c r="G39" s="20" t="str">
        <x:v>DEBUG_ONLY</x:v>
      </x:c>
      <x:c r="H39" s="20" t="str">
        <x:v>BLOCKED</x:v>
      </x:c>
      <x:c r="I39" s="20" t="str">
        <x:v>ORIGINAL_DRAFT_UNDER_REVIEW</x:v>
      </x:c>
    </x:row>
    <x:row r="40">
      <x:c r="A40" s="20" t="str">
        <x:v>site-160c60c7b952</x:v>
      </x:c>
      <x:c r="B40" s="20" t="str">
        <x:v>hr-lysmyn-160c60</x:v>
      </x:c>
      <x:c r="C40" s="20" t="str">
        <x:v>حارة الياسمينة</x:v>
      </x:c>
      <x:c r="D40" s="20" t="str">
        <x:v>catalogSummary</x:v>
      </x:c>
      <x:c r="E40" s="20" t="n">
        <x:v>0</x:v>
      </x:c>
      <x:c r="F40" s="20" t="n">
        <x:v>1</x:v>
      </x:c>
      <x:c r="G40" s="20" t="str">
        <x:v>DEBUG_ONLY</x:v>
      </x:c>
      <x:c r="H40" s="20" t="str">
        <x:v>BLOCKED</x:v>
      </x:c>
      <x:c r="I40" s="20" t="str">
        <x:v>ORIGINAL_DRAFT_UNDER_REVIEW</x:v>
      </x:c>
    </x:row>
    <x:row r="41">
      <x:c r="A41" s="20" t="str">
        <x:v>site-31c7667ff10e</x:v>
      </x:c>
      <x:c r="B41" s="20" t="str">
        <x:v>khn-ltjr-31c766</x:v>
      </x:c>
      <x:c r="C41" s="20" t="str">
        <x:v>خان التجار</x:v>
      </x:c>
      <x:c r="D41" s="20" t="str">
        <x:v>catalogSummary</x:v>
      </x:c>
      <x:c r="E41" s="20" t="n">
        <x:v>0</x:v>
      </x:c>
      <x:c r="F41" s="20" t="n">
        <x:v>1</x:v>
      </x:c>
      <x:c r="G41" s="20" t="str">
        <x:v>DEBUG_ONLY</x:v>
      </x:c>
      <x:c r="H41" s="20" t="str">
        <x:v>BLOCKED</x:v>
      </x:c>
      <x:c r="I41" s="20" t="str">
        <x:v>ORIGINAL_DRAFT_UNDER_REVIEW</x:v>
      </x:c>
    </x:row>
    <x:row r="42">
      <x:c r="A42" s="20" t="str">
        <x:v>site-6f6afe87f969</x:v>
      </x:c>
      <x:c r="B42" s="20" t="str">
        <x:v>sbsty-shmrwn-6f6afe</x:v>
      </x:c>
      <x:c r="C42" s="20" t="str">
        <x:v>سبسطية (شمرون)</x:v>
      </x:c>
      <x:c r="D42" s="20" t="str">
        <x:v>expandedNarrative</x:v>
      </x:c>
      <x:c r="E42" s="20" t="n">
        <x:v>8</x:v>
      </x:c>
      <x:c r="F42" s="20" t="n">
        <x:v>2</x:v>
      </x:c>
      <x:c r="G42" s="20" t="str">
        <x:v>DEBUG_ONLY</x:v>
      </x:c>
      <x:c r="H42" s="20" t="str">
        <x:v>BLOCKED</x:v>
      </x:c>
      <x:c r="I42" s="20" t="str">
        <x:v>ORIGINAL_DRAFT_UNDER_REVIEW</x:v>
      </x:c>
    </x:row>
    <x:row r="43">
      <x:c r="A43" s="20" t="str">
        <x:v>site-d00341226494</x:v>
      </x:c>
      <x:c r="B43" s="20" t="str">
        <x:v>mqm-lnby-sh-yb-d00341</x:v>
      </x:c>
      <x:c r="C43" s="20" t="str">
        <x:v>مقام النبي شعيب</x:v>
      </x:c>
      <x:c r="D43" s="20" t="str">
        <x:v>catalogSummary</x:v>
      </x:c>
      <x:c r="E43" s="20" t="n">
        <x:v>0</x:v>
      </x:c>
      <x:c r="F43" s="20" t="n">
        <x:v>1</x:v>
      </x:c>
      <x:c r="G43" s="20" t="str">
        <x:v>DEBUG_ONLY</x:v>
      </x:c>
      <x:c r="H43" s="20" t="str">
        <x:v>BLOCKED</x:v>
      </x:c>
      <x:c r="I43" s="20" t="str">
        <x:v>ORIGINAL_DRAFT_UNDER_REVIEW</x:v>
      </x:c>
    </x:row>
    <x:row r="44">
      <x:c r="A44" s="20" t="str">
        <x:v>site-fb9a817ec94a</x:v>
      </x:c>
      <x:c r="B44" s="20" t="str">
        <x:v>mqm-lnby-ywsf-blt-fb9a81</x:v>
      </x:c>
      <x:c r="C44" s="20" t="str">
        <x:v>مقام النبي يوسف (بلاطة)</x:v>
      </x:c>
      <x:c r="D44" s="20" t="str">
        <x:v>expandedNarrative</x:v>
      </x:c>
      <x:c r="E44" s="20" t="n">
        <x:v>4</x:v>
      </x:c>
      <x:c r="F44" s="20" t="n">
        <x:v>2</x:v>
      </x:c>
      <x:c r="G44" s="20" t="str">
        <x:v>DEBUG_ONLY</x:v>
      </x:c>
      <x:c r="H44" s="20" t="str">
        <x:v>BLOCKED</x:v>
      </x:c>
      <x:c r="I44" s="20" t="str">
        <x:v>ORIGINAL_DRAFT_UNDER_REVIEW</x:v>
      </x:c>
    </x:row>
    <x:row r="45">
      <x:c r="A45" s="20" t="str">
        <x:v>site-f2a7fbbda5a5</x:v>
      </x:c>
      <x:c r="B45" s="20" t="str">
        <x:v>bld-jnyn-lqdym-f2a7fb</x:v>
      </x:c>
      <x:c r="C45" s="20" t="str">
        <x:v>بلدة جنين القديمة</x:v>
      </x:c>
      <x:c r="D45" s="20" t="str">
        <x:v>catalogSummary</x:v>
      </x:c>
      <x:c r="E45" s="20" t="n">
        <x:v>0</x:v>
      </x:c>
      <x:c r="F45" s="20" t="n">
        <x:v>1</x:v>
      </x:c>
      <x:c r="G45" s="20" t="str">
        <x:v>DEBUG_ONLY</x:v>
      </x:c>
      <x:c r="H45" s="20" t="str">
        <x:v>BLOCKED</x:v>
      </x:c>
      <x:c r="I45" s="20" t="str">
        <x:v>ORIGINAL_DRAFT_UNDER_REVIEW</x:v>
      </x:c>
    </x:row>
    <x:row r="46">
      <x:c r="A46" s="20" t="str">
        <x:v>site-0ae63f2b6a17</x:v>
      </x:c>
      <x:c r="B46" s="20" t="str">
        <x:v>tl-jnyn-0ae63f</x:v>
      </x:c>
      <x:c r="C46" s="20" t="str">
        <x:v>تل جنين</x:v>
      </x:c>
      <x:c r="D46" s="20" t="str">
        <x:v>catalogSummary</x:v>
      </x:c>
      <x:c r="E46" s="20" t="n">
        <x:v>0</x:v>
      </x:c>
      <x:c r="F46" s="20" t="n">
        <x:v>1</x:v>
      </x:c>
      <x:c r="G46" s="20" t="str">
        <x:v>DEBUG_ONLY</x:v>
      </x:c>
      <x:c r="H46" s="20" t="str">
        <x:v>BLOCKED</x:v>
      </x:c>
      <x:c r="I46" s="20" t="str">
        <x:v>ORIGINAL_DRAFT_UNDER_REVIEW</x:v>
      </x:c>
    </x:row>
    <x:row r="47">
      <x:c r="A47" s="20" t="str">
        <x:v>site-fe1e2a1605b5</x:v>
      </x:c>
      <x:c r="B47" s="20" t="str">
        <x:v>qsr-lkyd-fe1e2a</x:v>
      </x:c>
      <x:c r="C47" s="20" t="str">
        <x:v>قصر الكايد</x:v>
      </x:c>
      <x:c r="D47" s="20" t="str">
        <x:v>expandedNarrative</x:v>
      </x:c>
      <x:c r="E47" s="20" t="n">
        <x:v>5</x:v>
      </x:c>
      <x:c r="F47" s="20" t="n">
        <x:v>1</x:v>
      </x:c>
      <x:c r="G47" s="20" t="str">
        <x:v>DEBUG_ONLY</x:v>
      </x:c>
      <x:c r="H47" s="20" t="str">
        <x:v>BLOCKED</x:v>
      </x:c>
      <x:c r="I47" s="20" t="str">
        <x:v>ORIGINAL_DRAFT_UNDER_REVIEW</x:v>
      </x:c>
    </x:row>
    <x:row r="48">
      <x:c r="A48" s="20" t="str">
        <x:v>site-2c1f6b6dbd51</x:v>
      </x:c>
      <x:c r="B48" s="20" t="str">
        <x:v>knys-brqyn-2c1f6b</x:v>
      </x:c>
      <x:c r="C48" s="20" t="str">
        <x:v>كنيسة برقين</x:v>
      </x:c>
      <x:c r="D48" s="20" t="str">
        <x:v>expandedNarrative</x:v>
      </x:c>
      <x:c r="E48" s="20" t="n">
        <x:v>4</x:v>
      </x:c>
      <x:c r="F48" s="20" t="n">
        <x:v>1</x:v>
      </x:c>
      <x:c r="G48" s="20" t="str">
        <x:v>DEBUG_ONLY</x:v>
      </x:c>
      <x:c r="H48" s="20" t="str">
        <x:v>BLOCKED</x:v>
      </x:c>
      <x:c r="I48" s="20" t="str">
        <x:v>ORIGINAL_DRAFT_UNDER_REVIEW</x:v>
      </x:c>
    </x:row>
    <x:row r="49">
      <x:c r="A49" s="20" t="str">
        <x:v>site-fc3cde18193c</x:v>
      </x:c>
      <x:c r="B49" s="20" t="str">
        <x:v>mqm-lshykh-hsn-fc3cde</x:v>
      </x:c>
      <x:c r="C49" s="20" t="str">
        <x:v>مقام الشيخ حسن</x:v>
      </x:c>
      <x:c r="D49" s="20" t="str">
        <x:v>catalogSummary</x:v>
      </x:c>
      <x:c r="E49" s="20" t="n">
        <x:v>0</x:v>
      </x:c>
      <x:c r="F49" s="20" t="n">
        <x:v>1</x:v>
      </x:c>
      <x:c r="G49" s="20" t="str">
        <x:v>DEBUG_ONLY</x:v>
      </x:c>
      <x:c r="H49" s="20" t="str">
        <x:v>BLOCKED</x:v>
      </x:c>
      <x:c r="I49" s="20" t="str">
        <x:v>ORIGINAL_DRAFT_UNDER_REVIEW</x:v>
      </x:c>
    </x:row>
    <x:row r="50">
      <x:c r="A50" s="20" t="str">
        <x:v>site-a28891855f38</x:v>
      </x:c>
      <x:c r="B50" s="20" t="str">
        <x:v>bld-dyr-lgswn-a28891</x:v>
      </x:c>
      <x:c r="C50" s="20" t="str">
        <x:v>بلدة دير الغصون</x:v>
      </x:c>
      <x:c r="D50" s="20" t="str">
        <x:v>catalogSummary</x:v>
      </x:c>
      <x:c r="E50" s="20" t="n">
        <x:v>0</x:v>
      </x:c>
      <x:c r="F50" s="20" t="n">
        <x:v>1</x:v>
      </x:c>
      <x:c r="G50" s="20" t="str">
        <x:v>DEBUG_ONLY</x:v>
      </x:c>
      <x:c r="H50" s="20" t="str">
        <x:v>BLOCKED</x:v>
      </x:c>
      <x:c r="I50" s="20" t="str">
        <x:v>ORIGINAL_DRAFT_UNDER_REVIEW</x:v>
      </x:c>
    </x:row>
    <x:row r="51">
      <x:c r="A51" s="20" t="str">
        <x:v>site-7a4bd929848c</x:v>
      </x:c>
      <x:c r="B51" s="20" t="str">
        <x:v>khrb-brj-l-bd-7a4bd9</x:v>
      </x:c>
      <x:c r="C51" s="20" t="str">
        <x:v>خربة برج العبد</x:v>
      </x:c>
      <x:c r="D51" s="20" t="str">
        <x:v>expandedNarrative</x:v>
      </x:c>
      <x:c r="E51" s="20" t="n">
        <x:v>4</x:v>
      </x:c>
      <x:c r="F51" s="20" t="n">
        <x:v>1</x:v>
      </x:c>
      <x:c r="G51" s="20" t="str">
        <x:v>DEBUG_ONLY</x:v>
      </x:c>
      <x:c r="H51" s="20" t="str">
        <x:v>BLOCKED</x:v>
      </x:c>
      <x:c r="I51" s="20" t="str">
        <x:v>ORIGINAL_DRAFT_UNDER_REVIEW</x:v>
      </x:c>
    </x:row>
    <x:row r="52">
      <x:c r="A52" s="20" t="str">
        <x:v>site-0c0a379f20f7</x:v>
      </x:c>
      <x:c r="B52" s="20" t="str">
        <x:v>khrb-jb-0c0a37</x:v>
      </x:c>
      <x:c r="C52" s="20" t="str">
        <x:v>خربة جبع</x:v>
      </x:c>
      <x:c r="D52" s="20" t="str">
        <x:v>expandedNarrative</x:v>
      </x:c>
      <x:c r="E52" s="20" t="n">
        <x:v>3</x:v>
      </x:c>
      <x:c r="F52" s="20" t="n">
        <x:v>1</x:v>
      </x:c>
      <x:c r="G52" s="20" t="str">
        <x:v>DEBUG_ONLY</x:v>
      </x:c>
      <x:c r="H52" s="20" t="str">
        <x:v>BLOCKED</x:v>
      </x:c>
      <x:c r="I52" s="20" t="str">
        <x:v>ORIGINAL_DRAFT_UNDER_REVIEW</x:v>
      </x:c>
    </x:row>
    <x:row r="53">
      <x:c r="A53" s="20" t="str">
        <x:v>site-be1c2ce90997</x:v>
      </x:c>
      <x:c r="B53" s="20" t="str">
        <x:v>mdyn-twlkrm-ltrykhy-be1c2c</x:v>
      </x:c>
      <x:c r="C53" s="20" t="str">
        <x:v>مدينة طولكرم التاريخية</x:v>
      </x:c>
      <x:c r="D53" s="20" t="str">
        <x:v>catalogSummary</x:v>
      </x:c>
      <x:c r="E53" s="20" t="n">
        <x:v>0</x:v>
      </x:c>
      <x:c r="F53" s="20" t="n">
        <x:v>1</x:v>
      </x:c>
      <x:c r="G53" s="20" t="str">
        <x:v>DEBUG_ONLY</x:v>
      </x:c>
      <x:c r="H53" s="20" t="str">
        <x:v>BLOCKED</x:v>
      </x:c>
      <x:c r="I53" s="20" t="str">
        <x:v>ORIGINAL_DRAFT_UNDER_REVIEW</x:v>
      </x:c>
    </x:row>
    <x:row r="54">
      <x:c r="A54" s="20" t="str">
        <x:v>site-95d241c30366</x:v>
      </x:c>
      <x:c r="B54" s="20" t="str">
        <x:v>mqm-lshykh-shltwt-95d241</x:v>
      </x:c>
      <x:c r="C54" s="20" t="str">
        <x:v>مقام الشيخ شلتوت</x:v>
      </x:c>
      <x:c r="D54" s="20" t="str">
        <x:v>catalogSummary</x:v>
      </x:c>
      <x:c r="E54" s="20" t="n">
        <x:v>0</x:v>
      </x:c>
      <x:c r="F54" s="20" t="n">
        <x:v>1</x:v>
      </x:c>
      <x:c r="G54" s="20" t="str">
        <x:v>DEBUG_ONLY</x:v>
      </x:c>
      <x:c r="H54" s="20" t="str">
        <x:v>BLOCKED</x:v>
      </x:c>
      <x:c r="I54" s="20" t="str">
        <x:v>ORIGINAL_DRAFT_UNDER_REVIEW</x:v>
      </x:c>
    </x:row>
    <x:row r="55">
      <x:c r="A55" s="20" t="str">
        <x:v>site-02cb039fe1eb</x:v>
      </x:c>
      <x:c r="B55" s="20" t="str">
        <x:v>khrb-zwn-02cb03</x:v>
      </x:c>
      <x:c r="C55" s="20" t="str">
        <x:v>خربة عزون</x:v>
      </x:c>
      <x:c r="D55" s="20" t="str">
        <x:v>catalogSummary</x:v>
      </x:c>
      <x:c r="E55" s="20" t="n">
        <x:v>0</x:v>
      </x:c>
      <x:c r="F55" s="20" t="n">
        <x:v>1</x:v>
      </x:c>
      <x:c r="G55" s="20" t="str">
        <x:v>DEBUG_ONLY</x:v>
      </x:c>
      <x:c r="H55" s="20" t="str">
        <x:v>BLOCKED</x:v>
      </x:c>
      <x:c r="I55" s="20" t="str">
        <x:v>ORIGINAL_DRAFT_UNDER_REVIEW</x:v>
      </x:c>
    </x:row>
    <x:row r="56">
      <x:c r="A56" s="20" t="str">
        <x:v>site-3ab4c5b64173</x:v>
      </x:c>
      <x:c r="B56" s="20" t="str">
        <x:v>khrb-qlqyly-lqdym-3ab4c5</x:v>
      </x:c>
      <x:c r="C56" s="20" t="str">
        <x:v>خربة قلقيلية القديمة</x:v>
      </x:c>
      <x:c r="D56" s="20" t="str">
        <x:v>expandedNarrative</x:v>
      </x:c>
      <x:c r="E56" s="20" t="n">
        <x:v>3</x:v>
      </x:c>
      <x:c r="F56" s="20" t="n">
        <x:v>1</x:v>
      </x:c>
      <x:c r="G56" s="20" t="str">
        <x:v>DEBUG_ONLY</x:v>
      </x:c>
      <x:c r="H56" s="20" t="str">
        <x:v>BLOCKED</x:v>
      </x:c>
      <x:c r="I56" s="20" t="str">
        <x:v>ORIGINAL_DRAFT_UNDER_REVIEW</x:v>
      </x:c>
    </x:row>
    <x:row r="57">
      <x:c r="A57" s="20" t="str">
        <x:v>site-a33c0a4f64fa</x:v>
      </x:c>
      <x:c r="B57" s="20" t="str">
        <x:v>mqm-lnby-ymyn-a33c0a</x:v>
      </x:c>
      <x:c r="C57" s="20" t="str">
        <x:v>مقام النبي يامين</x:v>
      </x:c>
      <x:c r="D57" s="20" t="str">
        <x:v>expandedNarrative</x:v>
      </x:c>
      <x:c r="E57" s="20" t="n">
        <x:v>2</x:v>
      </x:c>
      <x:c r="F57" s="20" t="n">
        <x:v>1</x:v>
      </x:c>
      <x:c r="G57" s="20" t="str">
        <x:v>DEBUG_ONLY</x:v>
      </x:c>
      <x:c r="H57" s="20" t="str">
        <x:v>BLOCKED</x:v>
      </x:c>
      <x:c r="I57" s="20" t="str">
        <x:v>ORIGINAL_DRAFT_UNDER_REVIEW</x:v>
      </x:c>
    </x:row>
    <x:row r="58">
      <x:c r="A58" s="20" t="str">
        <x:v>site-69f3ad775733</x:v>
      </x:c>
      <x:c r="B58" s="20" t="str">
        <x:v>khrb-dyr-sty-69f3ad</x:v>
      </x:c>
      <x:c r="C58" s="20" t="str">
        <x:v>خربة دير استيا</x:v>
      </x:c>
      <x:c r="D58" s="20" t="str">
        <x:v>expandedNarrative</x:v>
      </x:c>
      <x:c r="E58" s="20" t="n">
        <x:v>3</x:v>
      </x:c>
      <x:c r="F58" s="20" t="n">
        <x:v>1</x:v>
      </x:c>
      <x:c r="G58" s="20" t="str">
        <x:v>DEBUG_ONLY</x:v>
      </x:c>
      <x:c r="H58" s="20" t="str">
        <x:v>BLOCKED</x:v>
      </x:c>
      <x:c r="I58" s="20" t="str">
        <x:v>ORIGINAL_DRAFT_UNDER_REVIEW</x:v>
      </x:c>
    </x:row>
    <x:row r="59">
      <x:c r="A59" s="20" t="str">
        <x:v>site-ba91049d51a9</x:v>
      </x:c>
      <x:c r="B59" s="20" t="str">
        <x:v>ywn-lm-l-thry-ba9104</x:v>
      </x:c>
      <x:c r="C59" s="20" t="str">
        <x:v>عيون الماء الأثرية</x:v>
      </x:c>
      <x:c r="D59" s="20" t="str">
        <x:v>catalogSummary</x:v>
      </x:c>
      <x:c r="E59" s="20" t="n">
        <x:v>0</x:v>
      </x:c>
      <x:c r="F59" s="20" t="n">
        <x:v>1</x:v>
      </x:c>
      <x:c r="G59" s="20" t="str">
        <x:v>DEBUG_ONLY</x:v>
      </x:c>
      <x:c r="H59" s="20" t="str">
        <x:v>BLOCKED</x:v>
      </x:c>
      <x:c r="I59" s="20" t="str">
        <x:v>ORIGINAL_DRAFT_UNDER_REVIEW</x:v>
      </x:c>
    </x:row>
    <x:row r="60">
      <x:c r="A60" s="20" t="str">
        <x:v>site-b2a7e03ecda1</x:v>
      </x:c>
      <x:c r="B60" s="20" t="str">
        <x:v>ql-kfl-hrs-b2a7e0</x:v>
      </x:c>
      <x:c r="C60" s="20" t="str">
        <x:v>قلعة كفل حارس</x:v>
      </x:c>
      <x:c r="D60" s="20" t="str">
        <x:v>expandedNarrative</x:v>
      </x:c>
      <x:c r="E60" s="20" t="n">
        <x:v>2</x:v>
      </x:c>
      <x:c r="F60" s="20" t="n">
        <x:v>1</x:v>
      </x:c>
      <x:c r="G60" s="20" t="str">
        <x:v>DEBUG_ONLY</x:v>
      </x:c>
      <x:c r="H60" s="20" t="str">
        <x:v>BLOCKED</x:v>
      </x:c>
      <x:c r="I60" s="20" t="str">
        <x:v>ORIGINAL_DRAFT_UNDER_REVIEW</x:v>
      </x:c>
    </x:row>
    <x:row r="61">
      <x:c r="A61" s="20" t="str">
        <x:v>site-c6731a990917</x:v>
      </x:c>
      <x:c r="B61" s="20" t="str">
        <x:v>tl-lfr-lmdyn-lkn-ny-c6731a</x:v>
      </x:c>
      <x:c r="C61" s="20" t="str">
        <x:v>تل الفارعة (المدينة الكنعانية)</x:v>
      </x:c>
      <x:c r="D61" s="20" t="str">
        <x:v>expandedNarrative</x:v>
      </x:c>
      <x:c r="E61" s="20" t="n">
        <x:v>3</x:v>
      </x:c>
      <x:c r="F61" s="20" t="n">
        <x:v>1</x:v>
      </x:c>
      <x:c r="G61" s="20" t="str">
        <x:v>DEBUG_ONLY</x:v>
      </x:c>
      <x:c r="H61" s="20" t="str">
        <x:v>BLOCKED</x:v>
      </x:c>
      <x:c r="I61" s="20" t="str">
        <x:v>ORIGINAL_DRAFT_UNDER_REVIEW</x:v>
      </x:c>
    </x:row>
    <x:row r="62">
      <x:c r="A62" s="20" t="str">
        <x:v>site-4ab7d2100cc2</x:v>
      </x:c>
      <x:c r="B62" s="20" t="str">
        <x:v>khrb-twbs-lqdym-4ab7d2</x:v>
      </x:c>
      <x:c r="C62" s="20" t="str">
        <x:v>خربة طوباس القديمة</x:v>
      </x:c>
      <x:c r="D62" s="20" t="str">
        <x:v>catalogSummary</x:v>
      </x:c>
      <x:c r="E62" s="20" t="n">
        <x:v>0</x:v>
      </x:c>
      <x:c r="F62" s="20" t="n">
        <x:v>1</x:v>
      </x:c>
      <x:c r="G62" s="20" t="str">
        <x:v>DEBUG_ONLY</x:v>
      </x:c>
      <x:c r="H62" s="20" t="str">
        <x:v>BLOCKED</x:v>
      </x:c>
      <x:c r="I62" s="20" t="str">
        <x:v>ORIGINAL_DRAFT_UNDER_REVIEW</x:v>
      </x:c>
    </x:row>
    <x:row r="63">
      <x:c r="A63" s="20" t="str">
        <x:v>site-bc56c2f93d66</x:v>
      </x:c>
      <x:c r="B63" s="20" t="str">
        <x:v>yn-lfr-bc56c2</x:v>
      </x:c>
      <x:c r="C63" s="20" t="str">
        <x:v>عين الفارعة</x:v>
      </x:c>
      <x:c r="D63" s="20" t="str">
        <x:v>expandedNarrative</x:v>
      </x:c>
      <x:c r="E63" s="20" t="n">
        <x:v>2</x:v>
      </x:c>
      <x:c r="F63" s="20" t="n">
        <x:v>1</x:v>
      </x:c>
      <x:c r="G63" s="20" t="str">
        <x:v>DEBUG_ONLY</x:v>
      </x:c>
      <x:c r="H63" s="20" t="str">
        <x:v>BLOCKED</x:v>
      </x:c>
      <x:c r="I63" s="20" t="str">
        <x:v>ORIGINAL_DRAFT_UNDER_REVIEW</x:v>
      </x:c>
    </x:row>
    <x:row r="64">
      <x:c r="A64" s="20" t="str">
        <x:v>site-a86fc049d470</x:v>
      </x:c>
      <x:c r="B64" s="20" t="str">
        <x:v>tl-lsltn-ryh-lqdym-a86fc0</x:v>
      </x:c>
      <x:c r="C64" s="20" t="str">
        <x:v>تل السلطان (أريحا القديمة)</x:v>
      </x:c>
      <x:c r="D64" s="20" t="str">
        <x:v>expandedNarrative</x:v>
      </x:c>
      <x:c r="E64" s="20" t="n">
        <x:v>4</x:v>
      </x:c>
      <x:c r="F64" s="20" t="n">
        <x:v>1</x:v>
      </x:c>
      <x:c r="G64" s="20" t="str">
        <x:v>DEBUG_ONLY</x:v>
      </x:c>
      <x:c r="H64" s="20" t="str">
        <x:v>BLOCKED</x:v>
      </x:c>
      <x:c r="I64" s="20" t="str">
        <x:v>ORIGINAL_DRAFT_UNDER_REVIEW</x:v>
      </x:c>
    </x:row>
    <x:row r="65">
      <x:c r="A65" s="20" t="str">
        <x:v>site-cc4465115964</x:v>
      </x:c>
      <x:c r="B65" s="20" t="str">
        <x:v>dyr-qrntl-cc4465</x:v>
      </x:c>
      <x:c r="C65" s="20" t="str">
        <x:v>دير قرنطل</x:v>
      </x:c>
      <x:c r="D65" s="20" t="str">
        <x:v>expandedNarrative</x:v>
      </x:c>
      <x:c r="E65" s="20" t="n">
        <x:v>3</x:v>
      </x:c>
      <x:c r="F65" s="20" t="n">
        <x:v>1</x:v>
      </x:c>
      <x:c r="G65" s="20" t="str">
        <x:v>DEBUG_ONLY</x:v>
      </x:c>
      <x:c r="H65" s="20" t="str">
        <x:v>BLOCKED</x:v>
      </x:c>
      <x:c r="I65" s="20" t="str">
        <x:v>ORIGINAL_DRAFT_UNDER_REVIEW</x:v>
      </x:c>
    </x:row>
    <x:row r="66">
      <x:c r="A66" s="20" t="str">
        <x:v>site-b5f00132ee24</x:v>
      </x:c>
      <x:c r="B66" s="20" t="str">
        <x:v>yn-lsltn-b5f001</x:v>
      </x:c>
      <x:c r="C66" s="20" t="str">
        <x:v>عين السلطان</x:v>
      </x:c>
      <x:c r="D66" s="20" t="str">
        <x:v>catalogSummary</x:v>
      </x:c>
      <x:c r="E66" s="20" t="n">
        <x:v>0</x:v>
      </x:c>
      <x:c r="F66" s="20" t="n">
        <x:v>1</x:v>
      </x:c>
      <x:c r="G66" s="20" t="str">
        <x:v>DEBUG_ONLY</x:v>
      </x:c>
      <x:c r="H66" s="20" t="str">
        <x:v>BLOCKED</x:v>
      </x:c>
      <x:c r="I66" s="20" t="str">
        <x:v>ORIGINAL_DRAFT_UNDER_REVIEW</x:v>
      </x:c>
    </x:row>
    <x:row r="67">
      <x:c r="A67" s="20" t="str">
        <x:v>site-ce23c41d7641</x:v>
      </x:c>
      <x:c r="B67" s="20" t="str">
        <x:v>qbr-lnby-mws-ce23c4</x:v>
      </x:c>
      <x:c r="C67" s="20" t="str">
        <x:v>قبر النبي موسى</x:v>
      </x:c>
      <x:c r="D67" s="20" t="str">
        <x:v>catalogSummary</x:v>
      </x:c>
      <x:c r="E67" s="20" t="n">
        <x:v>0</x:v>
      </x:c>
      <x:c r="F67" s="20" t="n">
        <x:v>1</x:v>
      </x:c>
      <x:c r="G67" s="20" t="str">
        <x:v>DEBUG_ONLY</x:v>
      </x:c>
      <x:c r="H67" s="20" t="str">
        <x:v>BLOCKED</x:v>
      </x:c>
      <x:c r="I67" s="20" t="str">
        <x:v>ORIGINAL_DRAFT_UNDER_REVIEW</x:v>
      </x:c>
    </x:row>
    <x:row r="68">
      <x:c r="A68" s="20" t="str">
        <x:v>site-0285c869e647</x:v>
      </x:c>
      <x:c r="B68" s="20" t="str">
        <x:v>qsr-hshm-khrb-lmfjr-0285c8</x:v>
      </x:c>
      <x:c r="C68" s="20" t="str">
        <x:v>قصر هشام (خربة المفجر)</x:v>
      </x:c>
      <x:c r="D68" s="20" t="str">
        <x:v>expandedNarrative</x:v>
      </x:c>
      <x:c r="E68" s="20" t="n">
        <x:v>2</x:v>
      </x:c>
      <x:c r="F68" s="20" t="n">
        <x:v>2</x:v>
      </x:c>
      <x:c r="G68" s="20" t="str">
        <x:v>DEBUG_ONLY</x:v>
      </x:c>
      <x:c r="H68" s="20" t="str">
        <x:v>BLOCKED</x:v>
      </x:c>
      <x:c r="I68" s="20" t="str">
        <x:v>ORIGINAL_DRAFT_UNDER_REVIEW</x:v>
      </x:c>
    </x:row>
    <x:row r="69">
      <x:c r="A69" s="20" t="str">
        <x:v>site-7551f628d089</x:v>
      </x:c>
      <x:c r="B69" s="20" t="str">
        <x:v>qn-wdy-lqlt-7551f6</x:v>
      </x:c>
      <x:c r="C69" s="20" t="str">
        <x:v>قناة وادي القلط</x:v>
      </x:c>
      <x:c r="D69" s="20" t="str">
        <x:v>expandedNarrative</x:v>
      </x:c>
      <x:c r="E69" s="20" t="n">
        <x:v>2</x:v>
      </x:c>
      <x:c r="F69" s="20" t="n">
        <x:v>1</x:v>
      </x:c>
      <x:c r="G69" s="20" t="str">
        <x:v>DEBUG_ONLY</x:v>
      </x:c>
      <x:c r="H69" s="20" t="str">
        <x:v>BLOCKED</x:v>
      </x:c>
      <x:c r="I69" s="20" t="str">
        <x:v>ORIGINAL_DRAFT_UNDER_REVIEW</x:v>
      </x:c>
    </x:row>
    <x:row r="70">
      <x:c r="A70" s="20" t="str">
        <x:v>site-c4d8c9fdd1f0</x:v>
      </x:c>
      <x:c r="B70" s="20" t="str">
        <x:v>mqm-lnby-mws-c4d8c9</x:v>
      </x:c>
      <x:c r="C70" s="20" t="str">
        <x:v>مقام النبي موسى</x:v>
      </x:c>
      <x:c r="D70" s="20" t="str">
        <x:v>catalogSummary</x:v>
      </x:c>
      <x:c r="E70" s="20" t="n">
        <x:v>0</x:v>
      </x:c>
      <x:c r="F70" s="20" t="n">
        <x:v>1</x:v>
      </x:c>
      <x:c r="G70" s="20" t="str">
        <x:v>DEBUG_ONLY</x:v>
      </x:c>
      <x:c r="H70" s="20" t="str">
        <x:v>BLOCKED</x:v>
      </x:c>
      <x:c r="I70" s="20" t="str">
        <x:v>ORIGINAL_DRAFT_UNDER_REVIEW</x:v>
      </x:c>
    </x:row>
    <x:row r="71">
      <x:c r="A71" s="20" t="str">
        <x:v>site-2e45744cdab4</x:v>
      </x:c>
      <x:c r="B71" s="20" t="str">
        <x:v>lmsjd-l-mry-lkbyr-2e4574</x:v>
      </x:c>
      <x:c r="C71" s="20" t="str">
        <x:v>المسجد العمري الكبير</x:v>
      </x:c>
      <x:c r="D71" s="20" t="str">
        <x:v>expandedNarrative</x:v>
      </x:c>
      <x:c r="E71" s="20" t="n">
        <x:v>2</x:v>
      </x:c>
      <x:c r="F71" s="20" t="n">
        <x:v>1</x:v>
      </x:c>
      <x:c r="G71" s="20" t="str">
        <x:v>DEBUG_ONLY</x:v>
      </x:c>
      <x:c r="H71" s="20" t="str">
        <x:v>BLOCKED</x:v>
      </x:c>
      <x:c r="I71" s="20" t="str">
        <x:v>ORIGINAL_DRAFT_UNDER_REVIEW</x:v>
      </x:c>
    </x:row>
    <x:row r="72">
      <x:c r="A72" s="20" t="str">
        <x:v>site-21150eefdea6</x:v>
      </x:c>
      <x:c r="B72" s="20" t="str">
        <x:v>tl-l-jwl-mdyn-gz-lqdym-21150e</x:v>
      </x:c>
      <x:c r="C72" s="20" t="str">
        <x:v>تل العجول (مدينة غزة القديمة)</x:v>
      </x:c>
      <x:c r="D72" s="20" t="str">
        <x:v>expandedNarrative</x:v>
      </x:c>
      <x:c r="E72" s="20" t="n">
        <x:v>3</x:v>
      </x:c>
      <x:c r="F72" s="20" t="n">
        <x:v>1</x:v>
      </x:c>
      <x:c r="G72" s="20" t="str">
        <x:v>DEBUG_ONLY</x:v>
      </x:c>
      <x:c r="H72" s="20" t="str">
        <x:v>BLOCKED</x:v>
      </x:c>
      <x:c r="I72" s="20" t="str">
        <x:v>ORIGINAL_DRAFT_UNDER_REVIEW</x:v>
      </x:c>
    </x:row>
    <x:row r="73">
      <x:c r="A73" s="20" t="str">
        <x:v>site-3ded44be126d</x:v>
      </x:c>
      <x:c r="B73" s="20" t="str">
        <x:v>hmm-lsmr-3ded44</x:v>
      </x:c>
      <x:c r="C73" s="20" t="str">
        <x:v>حمام السمرة</x:v>
      </x:c>
      <x:c r="D73" s="20" t="str">
        <x:v>catalogSummary</x:v>
      </x:c>
      <x:c r="E73" s="20" t="n">
        <x:v>0</x:v>
      </x:c>
      <x:c r="F73" s="20" t="n">
        <x:v>1</x:v>
      </x:c>
      <x:c r="G73" s="20" t="str">
        <x:v>DEBUG_ONLY</x:v>
      </x:c>
      <x:c r="H73" s="20" t="str">
        <x:v>BLOCKED</x:v>
      </x:c>
      <x:c r="I73" s="20" t="str">
        <x:v>ORIGINAL_DRAFT_UNDER_REVIEW</x:v>
      </x:c>
    </x:row>
    <x:row r="74">
      <x:c r="A74" s="20" t="str">
        <x:v>site-5e98cf44d976</x:v>
      </x:c>
      <x:c r="B74" s="20" t="str">
        <x:v>ql-brqwq-5e98cf</x:v>
      </x:c>
      <x:c r="C74" s="20" t="str">
        <x:v>قلعة برقوق</x:v>
      </x:c>
      <x:c r="D74" s="20" t="str">
        <x:v>catalogSummary</x:v>
      </x:c>
      <x:c r="E74" s="20" t="n">
        <x:v>0</x:v>
      </x:c>
      <x:c r="F74" s="20" t="n">
        <x:v>1</x:v>
      </x:c>
      <x:c r="G74" s="20" t="str">
        <x:v>DEBUG_ONLY</x:v>
      </x:c>
      <x:c r="H74" s="20" t="str">
        <x:v>BLOCKED</x:v>
      </x:c>
      <x:c r="I74" s="20" t="str">
        <x:v>ORIGINAL_DRAFT_UNDER_REVIEW</x:v>
      </x:c>
    </x:row>
    <x:row r="75">
      <x:c r="A75" s="20" t="str">
        <x:v>site-e1e3de7b8519</x:v>
      </x:c>
      <x:c r="B75" s="20" t="str">
        <x:v>knys-lqdys-brfyryws-e1e3de</x:v>
      </x:c>
      <x:c r="C75" s="20" t="str">
        <x:v>كنيسة القديس برفيريوس</x:v>
      </x:c>
      <x:c r="D75" s="20" t="str">
        <x:v>expandedNarrative</x:v>
      </x:c>
      <x:c r="E75" s="20" t="n">
        <x:v>3</x:v>
      </x:c>
      <x:c r="F75" s="20" t="n">
        <x:v>1</x:v>
      </x:c>
      <x:c r="G75" s="20" t="str">
        <x:v>DEBUG_ONLY</x:v>
      </x:c>
      <x:c r="H75" s="20" t="str">
        <x:v>BLOCKED</x:v>
      </x:c>
      <x:c r="I75" s="20" t="str">
        <x:v>ORIGINAL_DRAFT_UNDER_REVIEW</x:v>
      </x:c>
    </x:row>
    <x:row r="76">
      <x:c r="A76" s="20" t="str">
        <x:v>site-015f495c4236</x:v>
      </x:c>
      <x:c r="B76" s="20" t="str">
        <x:v>mdyn-gz-lqdym-015f49</x:v>
      </x:c>
      <x:c r="C76" s="20" t="str">
        <x:v>مدينة غزة القديمة</x:v>
      </x:c>
      <x:c r="D76" s="20" t="str">
        <x:v>expandedNarrative</x:v>
      </x:c>
      <x:c r="E76" s="20" t="n">
        <x:v>5</x:v>
      </x:c>
      <x:c r="F76" s="20" t="n">
        <x:v>1</x:v>
      </x:c>
      <x:c r="G76" s="20" t="str">
        <x:v>DEBUG_ONLY</x:v>
      </x:c>
      <x:c r="H76" s="20" t="str">
        <x:v>BLOCKED</x:v>
      </x:c>
      <x:c r="I76" s="20" t="str">
        <x:v>ORIGINAL_DRAFT_UNDER_REVIEW</x:v>
      </x:c>
    </x:row>
    <x:row r="77">
      <x:c r="A77" s="20" t="str">
        <x:v>site-a77381cd3cae</x:v>
      </x:c>
      <x:c r="B77" s="20" t="str">
        <x:v>mqm-lshykh-rdwn-a77381</x:v>
      </x:c>
      <x:c r="C77" s="20" t="str">
        <x:v>مقام الشيخ رضوان</x:v>
      </x:c>
      <x:c r="D77" s="20" t="str">
        <x:v>catalogSummary</x:v>
      </x:c>
      <x:c r="E77" s="20" t="n">
        <x:v>0</x:v>
      </x:c>
      <x:c r="F77" s="20" t="n">
        <x:v>1</x:v>
      </x:c>
      <x:c r="G77" s="20" t="str">
        <x:v>DEBUG_ONLY</x:v>
      </x:c>
      <x:c r="H77" s="20" t="str">
        <x:v>BLOCKED</x:v>
      </x:c>
      <x:c r="I77" s="20" t="str">
        <x:v>ORIGINAL_DRAFT_UNDER_REVIEW</x:v>
      </x:c>
    </x:row>
    <x:row r="78">
      <x:c r="A78" s="20" t="str">
        <x:v>site-99f520b3d607</x:v>
      </x:c>
      <x:c r="B78" s="20" t="str">
        <x:v>myn-gz-lqdym-l-nt-99f520</x:v>
      </x:c>
      <x:c r="C78" s="20" t="str">
        <x:v>ميناء غزة القديم (الأنطة)</x:v>
      </x:c>
      <x:c r="D78" s="20" t="str">
        <x:v>catalogSummary</x:v>
      </x:c>
      <x:c r="E78" s="20" t="n">
        <x:v>0</x:v>
      </x:c>
      <x:c r="F78" s="20" t="n">
        <x:v>1</x:v>
      </x:c>
      <x:c r="G78" s="20" t="str">
        <x:v>DEBUG_ONLY</x:v>
      </x:c>
      <x:c r="H78" s="20" t="str">
        <x:v>BLOCKED</x:v>
      </x:c>
      <x:c r="I78" s="20" t="str">
        <x:v>ORIGINAL_DRAFT_UNDER_REVIEW</x:v>
      </x:c>
    </x:row>
    <x:row r="79">
      <x:c r="A79" s="20" t="str">
        <x:v>site-0a78d22c1a69</x:v>
      </x:c>
      <x:c r="B79" s="20" t="str">
        <x:v>khn-ywns-lqdym-0a78d2</x:v>
      </x:c>
      <x:c r="C79" s="20" t="str">
        <x:v>خان يونس القديم</x:v>
      </x:c>
      <x:c r="D79" s="20" t="str">
        <x:v>expandedNarrative</x:v>
      </x:c>
      <x:c r="E79" s="20" t="n">
        <x:v>2</x:v>
      </x:c>
      <x:c r="F79" s="20" t="n">
        <x:v>1</x:v>
      </x:c>
      <x:c r="G79" s="20" t="str">
        <x:v>DEBUG_ONLY</x:v>
      </x:c>
      <x:c r="H79" s="20" t="str">
        <x:v>BLOCKED</x:v>
      </x:c>
      <x:c r="I79" s="20" t="str">
        <x:v>ORIGINAL_DRAFT_UNDER_REVIEW</x:v>
      </x:c>
    </x:row>
    <x:row r="80">
      <x:c r="A80" s="20" t="str">
        <x:v>site-ee0e5bf1f753</x:v>
      </x:c>
      <x:c r="B80" s="20" t="str">
        <x:v>rfh-ltrykhy-ee0e5b</x:v>
      </x:c>
      <x:c r="C80" s="20" t="str">
        <x:v>رفح التاريخية</x:v>
      </x:c>
      <x:c r="D80" s="20" t="str">
        <x:v>expandedNarrative</x:v>
      </x:c>
      <x:c r="E80" s="20" t="n">
        <x:v>3</x:v>
      </x:c>
      <x:c r="F80" s="20" t="n">
        <x:v>1</x:v>
      </x:c>
      <x:c r="G80" s="20" t="str">
        <x:v>DEBUG_ONLY</x:v>
      </x:c>
      <x:c r="H80" s="20" t="str">
        <x:v>BLOCKED</x:v>
      </x:c>
      <x:c r="I80" s="20" t="str">
        <x:v>ORIGINAL_DRAFT_UNDER_REVIEW</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32" hidden="0" customWidth="1"/>
    <x:col min="3" max="3" width="24" hidden="0" customWidth="1"/>
    <x:col min="4" max="4" width="28" hidden="0" customWidth="1"/>
    <x:col min="5" max="5" width="22" hidden="0" customWidth="1"/>
    <x:col min="6" max="6" width="44" hidden="0" customWidth="1"/>
  </x:cols>
  <x:sheetData>
    <x:row r="1">
      <x:c r="A1" s="71" t="str">
        <x:v>Component</x:v>
      </x:c>
      <x:c r="B1" s="71" t="str">
        <x:v>Object / Surface</x:v>
      </x:c>
      <x:c r="C1" s="71" t="str">
        <x:v>Status</x:v>
      </x:c>
      <x:c r="D1" s="71" t="str">
        <x:v>Write Role</x:v>
      </x:c>
      <x:c r="E1" s="71" t="str">
        <x:v>Public Exposure</x:v>
      </x:c>
      <x:c r="F1" s="71" t="str">
        <x:v>Notes</x:v>
      </x:c>
    </x:row>
    <x:row r="2">
      <x:c r="A2" s="20" t="str">
        <x:v>Schema</x:v>
      </x:c>
      <x:c r="B2" s="20" t="str">
        <x:v>pal_eyes</x:v>
      </x:c>
      <x:c r="C2" s="20" t="str">
        <x:v>PREPARED_NOT_APPLIED</x:v>
      </x:c>
      <x:c r="D2" s="20" t="str">
        <x:v>system_admin</x:v>
      </x:c>
      <x:c r="E2" s="20" t="str">
        <x:v>NONE</x:v>
      </x:c>
      <x:c r="F2" s="20" t="str">
        <x:v>Separate staging authorization required</x:v>
      </x:c>
    </x:row>
    <x:row r="3">
      <x:c r="A3" s="20" t="str">
        <x:v>Identity</x:v>
      </x:c>
      <x:c r="B3" s="20" t="str">
        <x:v>user_roles + has_any_role</x:v>
      </x:c>
      <x:c r="C3" s="20" t="str">
        <x:v>PREPARED</x:v>
      </x:c>
      <x:c r="D3" s="20" t="str">
        <x:v>system_admin</x:v>
      </x:c>
      <x:c r="E3" s="20" t="str">
        <x:v>NONE</x:v>
      </x:c>
      <x:c r="F3" s="20" t="str">
        <x:v>RLS enforced</x:v>
      </x:c>
    </x:row>
    <x:row r="4">
      <x:c r="A4" s="20" t="str">
        <x:v>Sites</x:v>
      </x:c>
      <x:c r="B4" s="20" t="str">
        <x:v>sites</x:v>
      </x:c>
      <x:c r="C4" s="20" t="str">
        <x:v>SEEDED_79</x:v>
      </x:c>
      <x:c r="D4" s="20" t="str">
        <x:v>editor/review_manager</x:v>
      </x:c>
      <x:c r="E4" s="20" t="str">
        <x:v>PUBLISHED rows only</x:v>
      </x:c>
      <x:c r="F4" s="20" t="str">
        <x:v>Current seed blocked</x:v>
      </x:c>
    </x:row>
    <x:row r="5">
      <x:c r="A5" s="20" t="str">
        <x:v>Original source</x:v>
      </x:c>
      <x:c r="B5" s="20" t="str">
        <x:v>original_draft_layers</x:v>
      </x:c>
      <x:c r="C5" s="20" t="str">
        <x:v>SEEDED_79</x:v>
      </x:c>
      <x:c r="D5" s="20" t="str">
        <x:v>researcher/editor</x:v>
      </x:c>
      <x:c r="E5" s="20" t="str">
        <x:v>NONE</x:v>
      </x:c>
      <x:c r="F5" s="20" t="str">
        <x:v>No public view</x:v>
      </x:c>
    </x:row>
    <x:row r="6">
      <x:c r="A6" s="20" t="str">
        <x:v>Sources</x:v>
      </x:c>
      <x:c r="B6" s="20" t="str">
        <x:v>sources + representations</x:v>
      </x:c>
      <x:c r="C6" s="20" t="str">
        <x:v>SEEDED_95</x:v>
      </x:c>
      <x:c r="D6" s="20" t="str">
        <x:v>researcher/source_reviewer</x:v>
      </x:c>
      <x:c r="E6" s="20" t="str">
        <x:v>PUBLISHED rows only</x:v>
      </x:c>
      <x:c r="F6" s="20" t="str">
        <x:v>Rights fail-closed</x:v>
      </x:c>
    </x:row>
    <x:row r="7">
      <x:c r="A7" s="20" t="str">
        <x:v>Claims</x:v>
      </x:c>
      <x:c r="B7" s="20" t="str">
        <x:v>claims + evidence links</x:v>
      </x:c>
      <x:c r="C7" s="20" t="str">
        <x:v>SEEDED_211</x:v>
      </x:c>
      <x:c r="D7" s="20" t="str">
        <x:v>researcher/source_reviewer</x:v>
      </x:c>
      <x:c r="E7" s="20" t="str">
        <x:v>NONE</x:v>
      </x:c>
      <x:c r="F7" s="20" t="str">
        <x:v>Editorial use separate</x:v>
      </x:c>
    </x:row>
    <x:row r="8">
      <x:c r="A8" s="20" t="str">
        <x:v>GIS</x:v>
      </x:c>
      <x:c r="B8" s="20" t="str">
        <x:v>coordinate_candidates</x:v>
      </x:c>
      <x:c r="C8" s="20" t="str">
        <x:v>SEEDED_4</x:v>
      </x:c>
      <x:c r="D8" s="20" t="str">
        <x:v>gis_reviewer</x:v>
      </x:c>
      <x:c r="E8" s="20" t="str">
        <x:v>NONE</x:v>
      </x:c>
      <x:c r="F8" s="20" t="str">
        <x:v>Public map use blocked</x:v>
      </x:c>
    </x:row>
    <x:row r="9">
      <x:c r="A9" s="20" t="str">
        <x:v>Media</x:v>
      </x:c>
      <x:c r="B9" s="20" t="str">
        <x:v>media_assets + media_rights</x:v>
      </x:c>
      <x:c r="C9" s="20" t="str">
        <x:v>EMPTY_READY</x:v>
      </x:c>
      <x:c r="D9" s="20" t="str">
        <x:v>rights_reviewer</x:v>
      </x:c>
      <x:c r="E9" s="20" t="str">
        <x:v>NONE</x:v>
      </x:c>
      <x:c r="F9" s="20" t="str">
        <x:v>Default public use blocked</x:v>
      </x:c>
    </x:row>
    <x:row r="10">
      <x:c r="A10" s="20" t="str">
        <x:v>Review</x:v>
      </x:c>
      <x:c r="B10" s="20" t="str">
        <x:v>review_tasks + decisions</x:v>
      </x:c>
      <x:c r="C10" s="20" t="str">
        <x:v>SEEDED_16</x:v>
      </x:c>
      <x:c r="D10" s="20" t="str">
        <x:v>review_manager</x:v>
      </x:c>
      <x:c r="E10" s="20" t="str">
        <x:v>NONE</x:v>
      </x:c>
      <x:c r="F10" s="20" t="str">
        <x:v>Accept/return/reject/hold</x:v>
      </x:c>
    </x:row>
    <x:row r="11">
      <x:c r="A11" s="20" t="str">
        <x:v>Versions</x:v>
      </x:c>
      <x:c r="B11" s="20" t="str">
        <x:v>content_versions</x:v>
      </x:c>
      <x:c r="C11" s="20" t="str">
        <x:v>READY</x:v>
      </x:c>
      <x:c r="D11" s="20" t="str">
        <x:v>editor/review_manager</x:v>
      </x:c>
      <x:c r="E11" s="20" t="str">
        <x:v>NONE</x:v>
      </x:c>
      <x:c r="F11" s="20" t="str">
        <x:v>Draft autosave versions</x:v>
      </x:c>
    </x:row>
    <x:row r="12">
      <x:c r="A12" s="20" t="str">
        <x:v>Release</x:v>
      </x:c>
      <x:c r="B12" s="20" t="str">
        <x:v>release_candidates</x:v>
      </x:c>
      <x:c r="C12" s="20" t="str">
        <x:v>READY_EMPTY</x:v>
      </x:c>
      <x:c r="D12" s="20" t="str">
        <x:v>release_manager</x:v>
      </x:c>
      <x:c r="E12" s="20" t="str">
        <x:v>NONE</x:v>
      </x:c>
      <x:c r="F12" s="20" t="str">
        <x:v>Candidate is not publication</x:v>
      </x:c>
    </x:row>
    <x:row r="13">
      <x:c r="A13" s="20" t="str">
        <x:v>Audit</x:v>
      </x:c>
      <x:c r="B13" s="20" t="str">
        <x:v>audit_events</x:v>
      </x:c>
      <x:c r="C13" s="20" t="str">
        <x:v>READY</x:v>
      </x:c>
      <x:c r="D13" s="20" t="str">
        <x:v>all governed roles</x:v>
      </x:c>
      <x:c r="E13" s="20" t="str">
        <x:v>NONE</x:v>
      </x:c>
      <x:c r="F13" s="20" t="str">
        <x:v>Persistent in Supabase mode</x:v>
      </x:c>
    </x:row>
    <x:row r="14">
      <x:c r="A14" s="20" t="str">
        <x:v>Runtime</x:v>
      </x:c>
      <x:c r="B14" s="20" t="str">
        <x:v>Local fallback</x:v>
      </x:c>
      <x:c r="C14" s="20" t="str">
        <x:v>ACTIVE_IN_SESSION</x:v>
      </x:c>
      <x:c r="D14" s="20" t="str">
        <x:v>local governed actor</x:v>
      </x:c>
      <x:c r="E14" s="20" t="str">
        <x:v>NONE</x:v>
      </x:c>
      <x:c r="F14" s="20" t="str">
        <x:v>No restart persistence</x:v>
      </x:c>
    </x:row>
    <x:row r="15">
      <x:c r="A15" s="20" t="str">
        <x:v>Runtime</x:v>
      </x:c>
      <x:c r="B15" s="20" t="str">
        <x:v>Supabase backend</x:v>
      </x:c>
      <x:c r="C15" s="20" t="str">
        <x:v>READY_WHEN_CONFIGURED</x:v>
      </x:c>
      <x:c r="D15" s="20" t="str">
        <x:v>RLS</x:v>
      </x:c>
      <x:c r="E15" s="20" t="str">
        <x:v>NONE</x:v>
      </x:c>
      <x:c r="F15" s="20" t="str">
        <x:v>No service_role in client</x:v>
      </x:c>
    </x:row>
  </x:sheetData>
  <x:pageMargins left="0.7" right="0.7" top="0.75" bottom="0.75" header="0.3" footer="0.3"/>
</x:worksheet>
</file>